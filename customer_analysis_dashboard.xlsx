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35aba9028433b49/Desktop/Excel Practice/"/>
    </mc:Choice>
  </mc:AlternateContent>
  <xr:revisionPtr revIDLastSave="0" documentId="6_{F9756E3C-706C-4218-84A2-4C155302A0DB}" xr6:coauthVersionLast="47" xr6:coauthVersionMax="47" xr10:uidLastSave="{00000000-0000-0000-0000-000000000000}"/>
  <bookViews>
    <workbookView xWindow="-108" yWindow="-108" windowWidth="23256" windowHeight="12456" activeTab="3" xr2:uid="{DDC6DD95-419E-4220-96C3-4424372B3983}"/>
  </bookViews>
  <sheets>
    <sheet name="Raw Dataset" sheetId="7" r:id="rId1"/>
    <sheet name="Clean Dataset" sheetId="4" r:id="rId2"/>
    <sheet name="Pivot Table" sheetId="5" r:id="rId3"/>
    <sheet name="Dashboard" sheetId="6" r:id="rId4"/>
  </sheets>
  <definedNames>
    <definedName name="_xlchart.v5.0" hidden="1">'Pivot Table'!$L$14</definedName>
    <definedName name="_xlchart.v5.1" hidden="1">'Pivot Table'!$L$15:$L$21</definedName>
    <definedName name="_xlchart.v5.2" hidden="1">'Pivot Table'!$M$14</definedName>
    <definedName name="_xlchart.v5.3" hidden="1">'Pivot Table'!$M$15:$M$21</definedName>
    <definedName name="_xlcn.WorksheetConnection_5JumbledupCustomersDetails1220823192255201version1.xlsbTable2_21" hidden="1">Table2_2[]</definedName>
    <definedName name="ExternalData_2" localSheetId="1" hidden="1">'Clean Dataset'!$B$4:$G$12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_2" name="Table2_2" connection="WorksheetConnection_5JumbledupCustomersDetails1-220823-192255%20(1) (version 1).xlsb!Table2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14" i="5" l="1" a="1"/>
  <c r="L14" i="5" s="1"/>
  <c r="G8" i="5" a="1"/>
  <c r="G8" i="5" s="1"/>
  <c r="B10" i="5"/>
  <c r="C10" i="5" s="1"/>
  <c r="D10" i="5" s="1"/>
  <c r="B9" i="5"/>
  <c r="C9" i="5" l="1"/>
  <c r="D9" i="5" s="1"/>
  <c r="B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3A3D9E-3851-48EA-BD62-A7860DE037B9}" keepAlive="1" name="Query - Table2_1" description="Connection to the 'Table2_1' query in the workbook." type="5" refreshedVersion="8" background="1" saveData="1">
    <dbPr connection="Provider=Microsoft.Mashup.OleDb.1;Data Source=$Workbook$;Location=Table2_1;Extended Properties=&quot;&quot;" command="SELECT * FROM [Table2_1]"/>
  </connection>
  <connection id="2" xr16:uid="{C5374CE3-4733-47AB-BDEA-ED38949C0C6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8A1048A0-EA40-4538-8394-05509264B46F}" name="WorksheetConnection_5JumbledupCustomersDetails1-220823-192255%20(1) (version 1).xlsb!Table2_2" type="102" refreshedVersion="8" minRefreshableVersion="5">
    <extLst>
      <ext xmlns:x15="http://schemas.microsoft.com/office/spreadsheetml/2010/11/main" uri="{DE250136-89BD-433C-8126-D09CA5730AF9}">
        <x15:connection id="Table2_2" autoDelete="1">
          <x15:rangePr sourceName="_xlcn.WorksheetConnection_5JumbledupCustomersDetails1220823192255201version1.xlsbTable2_2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<sst xmlns="http://schemas.openxmlformats.org/spreadsheetml/2006/main" count="83" uniqueCount="53">
  <si>
    <t>Name</t>
  </si>
  <si>
    <t>Address</t>
  </si>
  <si>
    <t>Age</t>
  </si>
  <si>
    <t>Gender</t>
  </si>
  <si>
    <t xml:space="preserve"> Hussein Hakeem </t>
  </si>
  <si>
    <t xml:space="preserve"> Number 22 Fioye Crescent Surulere Lagos </t>
  </si>
  <si>
    <t xml:space="preserve"> Male</t>
  </si>
  <si>
    <t>Lagos</t>
  </si>
  <si>
    <t xml:space="preserve"> Arojoye Samuel </t>
  </si>
  <si>
    <t xml:space="preserve"> 11 Omolade Close Omole Estate Lagos </t>
  </si>
  <si>
    <t xml:space="preserve"> Alex Ezurum </t>
  </si>
  <si>
    <t xml:space="preserve"> 1 Adamu Lane, Abuja </t>
  </si>
  <si>
    <t>Abuja</t>
  </si>
  <si>
    <t xml:space="preserve"> Susan Nwaimo </t>
  </si>
  <si>
    <t xml:space="preserve"> Number 58 Yaba Street, Kaduna State  </t>
  </si>
  <si>
    <t xml:space="preserve"> Female</t>
  </si>
  <si>
    <t xml:space="preserve"> Ajao Opeyemi </t>
  </si>
  <si>
    <t xml:space="preserve"> No12 Olubunmi Street, Abeokuta </t>
  </si>
  <si>
    <t xml:space="preserve"> Banjoko Adebusola </t>
  </si>
  <si>
    <t xml:space="preserve"> 34 Ngige Street, Ugheli, Delta </t>
  </si>
  <si>
    <t>Delta</t>
  </si>
  <si>
    <t xml:space="preserve"> Muhammed Olabisi </t>
  </si>
  <si>
    <t xml:space="preserve"> 13, ICAN road, Enugu </t>
  </si>
  <si>
    <t>Enugu</t>
  </si>
  <si>
    <t xml:space="preserve"> Oluwagbemi Mojisola </t>
  </si>
  <si>
    <t xml:space="preserve"> ACCA Lane, Onitsha </t>
  </si>
  <si>
    <t>Kaduna</t>
  </si>
  <si>
    <t>Ogun</t>
  </si>
  <si>
    <t>Anambra</t>
  </si>
  <si>
    <t>State</t>
  </si>
  <si>
    <t>Age Group</t>
  </si>
  <si>
    <t>16 to 20</t>
  </si>
  <si>
    <t>10 to 15</t>
  </si>
  <si>
    <t>Row Labels</t>
  </si>
  <si>
    <t>Grand Total</t>
  </si>
  <si>
    <t>Count of Gender</t>
  </si>
  <si>
    <t>Count of Age Group</t>
  </si>
  <si>
    <t>Count of State</t>
  </si>
  <si>
    <t>Total Count</t>
  </si>
  <si>
    <t>Average Age</t>
  </si>
  <si>
    <t>Gender Distribution</t>
  </si>
  <si>
    <t>Age Distribution</t>
  </si>
  <si>
    <t>Location Breakdown by State</t>
  </si>
  <si>
    <t>Key Metric</t>
  </si>
  <si>
    <t>Total</t>
  </si>
  <si>
    <t>Name Oluwagbemi Mojisola Address ACCA Lane, Onitsha Age 13 Gender Female</t>
  </si>
  <si>
    <t>Name Muhammed Olabisi Address 13, ICAN road, Enugu Age 12 Gender Female</t>
  </si>
  <si>
    <t>Name Banjoko Adebusola Address 34 Ngige Street, Ugheli, Delta Age 14 Gender Female</t>
  </si>
  <si>
    <t>Name Ajao Opeyemi Address No12 Olubunmi Street, Abeokuta Age 18 Gender Female</t>
  </si>
  <si>
    <t>Name Susan Nwaimo Address Number 58 Yaba Street, Kaduna State  Age 16 Gender Female</t>
  </si>
  <si>
    <t>Name Alex Ezurum Address 1 Adamu Lane, Abuja Age 14 Gender Male</t>
  </si>
  <si>
    <t>Name Arojoye Samuel Address 11 Omolade Close Omole Estate Lagos Age 16 Gender Male</t>
  </si>
  <si>
    <t>Name Hussein Hakeem Address Number 22 Fioye Crescent Surulere Lagos Age 17 Gender 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</si>
</sst>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2" fillId="0" borderId="0" xfId="1" applyNumberFormat="1" applyFont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2" fillId="2" borderId="1" xfId="0" applyFont="1" applyFill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642238"/>
      <color rgb="FFFF9800"/>
      <color rgb="FFC28F0E"/>
      <color rgb="FF121212"/>
      <color rgb="FFBBDEFB"/>
      <color rgb="FF0D47A1"/>
      <color rgb="FF1877F2"/>
      <color rgb="FF5517F1"/>
      <color rgb="FF9020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25224910208595"/>
          <c:y val="1.8294999309296865E-2"/>
          <c:w val="0.67429706042207782"/>
          <c:h val="0.89010981087206231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2238"/>
              </a:solidFill>
              <a:ln w="19050">
                <a:solidFill>
                  <a:schemeClr val="accent1">
                    <a:shade val="1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21-4F65-92BA-2594F7B42C2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F21-4F65-92BA-2594F7B42C2C}"/>
              </c:ext>
            </c:extLst>
          </c:dPt>
          <c:val>
            <c:numRef>
              <c:f>'Pivot Table'!$C$9:$D$9</c:f>
              <c:numCache>
                <c:formatCode>0.0%</c:formatCode>
                <c:ptCount val="2"/>
                <c:pt idx="0">
                  <c:v>0.625</c:v>
                </c:pt>
                <c:pt idx="1">
                  <c:v>0.375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21-4F65-92BA-2594F7B42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72443099784938"/>
          <c:y val="9.1374269005847948E-3"/>
          <c:w val="0.68817149677310119"/>
          <c:h val="0.90842484239338539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rgbClr val="121212"/>
              </a:solidFill>
              <a:ln w="19050">
                <a:solidFill>
                  <a:srgbClr val="64223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4-479D-BF2D-85D21011683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4-479D-BF2D-85D210116838}"/>
              </c:ext>
            </c:extLst>
          </c:dPt>
          <c:val>
            <c:numRef>
              <c:f>'Pivot Table'!$C$10:$D$10</c:f>
              <c:numCache>
                <c:formatCode>0.0%</c:formatCode>
                <c:ptCount val="2"/>
                <c:pt idx="0">
                  <c:v>0.375</c:v>
                </c:pt>
                <c:pt idx="1">
                  <c:v>0.625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4-479D-BF2D-85D210116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7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Table'!$H$8</c:f>
              <c:strCache>
                <c:ptCount val="1"/>
                <c:pt idx="0">
                  <c:v>Count of Age Group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426-4792-90B9-31FBF923CCE7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26-4792-90B9-31FBF923CCE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Table'!$G$9:$G$10</c:f>
              <c:strCache>
                <c:ptCount val="2"/>
                <c:pt idx="0">
                  <c:v>10 to 15</c:v>
                </c:pt>
                <c:pt idx="1">
                  <c:v>16 to 20</c:v>
                </c:pt>
              </c:strCache>
            </c:strRef>
          </c:cat>
          <c:val>
            <c:numRef>
              <c:f>'Pivot Table'!$H$9:$H$10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26-4792-90B9-31FBF923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4"/>
        <c:axId val="621864288"/>
        <c:axId val="621854568"/>
      </c:barChart>
      <c:catAx>
        <c:axId val="62186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854568"/>
        <c:crosses val="autoZero"/>
        <c:auto val="1"/>
        <c:lblAlgn val="ctr"/>
        <c:lblOffset val="100"/>
        <c:noMultiLvlLbl val="0"/>
      </c:catAx>
      <c:valAx>
        <c:axId val="621854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1864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series layoutId="regionMap" uniqueId="{BCAA8FA6-18A2-4870-B924-98FC1F56575E}">
          <cx:tx>
            <cx:txData>
              <cx:f>_xlchart.v5.2</cx:f>
              <cx:v>Count of State</cx:v>
            </cx:txData>
          </cx:tx>
          <cx:spPr>
            <a:ln>
              <a:noFill/>
            </a:ln>
          </cx:spPr>
          <cx:dataLabels>
            <cx:spPr>
              <a:noFill/>
              <a:ln>
                <a:noFill/>
              </a:ln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/>
                    </a:solidFill>
                  </a:defRPr>
                </a:pPr>
                <a:endParaRPr lang="en-US" sz="1400" b="0" i="0" u="none" strike="noStrike" baseline="0">
                  <a:solidFill>
                    <a:schemeClr val="tx1"/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regionLabelLayout val="none"/>
            <cx:geography viewedRegionType="countryRegion" cultureLanguage="en-US" cultureRegion="US" attribution="Powered by Bing">
              <cx:geoCache provider="{E9337A44-BEBE-4D9F-B70C-5C5E7DAFC167}">
                <cx:binary>3HvZkt02lu2vOPx8KWMG2NGuiAZ5zslBqdQ8+IWRSqVAECBBkOD49XenplKqXO7r6oob4c6HlE/y
gAQB7LXXWnv7P2/X/7j1dzfDT2vru/E/btdff65T6v/jl1/G2/quvRkftfZ2CGP4mB7dhvaX8PGj
vb375cNws9jO/EIQZr/c1jdDult//tt/wt3MXXgcbm+SDd2z6W7Ynt+Nk0/jH1z73Us/3YapS/fD
Ddzp15+fWHM32Juff7rrkk3by62/+/XnB9/5+adffrzTPzz1Jw8TS9MHGJs/EgghyoWEf+5/+M8/
+dCZL5floxx+JFZfL7Ovj35y08Lw/4f5fJrNzYcPw904/vTl3+8GPpj8d3+3Yyg+v3sR7if65PTp
zX55uLZ/+88f/gDv+sNfvlv+Hxfmv7sE021tV9oxDfY24V9/fnxjwvh1BT4v/oOv/MnFF484ETmi
mN2v8v3Pg8Wnj7iUDCH29bL6+ujPi/9pNj+9SDfp7uuF35vT72/Ag8EPXuLLa3698V9qg/7r/dT8
EB0P3u33ztB/dwo+h+7vnp1/OCD/1d2074f/dgYPD/Efxad4RLCimAr1+YDk4sEREY9yTrFimH6O
XvRDfH6Zz9e9/B41Hq7L7x+SH4Y/GPLrzz9c/UsdlGszdX8UNH8ORWEbpFJc5l93CSL1OxSljxhV
Ockp+bJL5OujPwfy/WT+1S36fuwP+/P9pb/U5pR3Pv0bY4gDzEqKBJJfYujh7ohHWEIECfjK558f
YujTbP7V7Xkw+If9eXDtL7VBh24y09cz/Hs558+GD+dUoJx+ZRkQH9+Fj3zEMIP9w/zv+/cZyT6H
z6fZ/Ksb9GDwDxv04NpfaoMubz5M3b8xhDB6RBXhlOAft0ZxSgnh6MvWAIP5fms+z+Nf3ZuHo3/Y
nIcX///uzj+nmN9yeXmTbg6fSPp3/OKPr36lGD8MfcD1HyzC17U+//Drz1hgQQij8jsOen+jH7aj
Cw8344ehdzdjuhcFEI0U5SANFICiVPjnn5a7+yvykZAcizxnTAogHhToSBeGVMMECEgJdh+i96RW
Sg4wOobp0yX0iDNKeS65YHCNyG8i6Wnwmwndt4X58vmnbmqfBtul8defiYB36j9/7366n6AcE0Eo
lfc5l3HA8/725jkoMfg6/j9DRhyaOT2FZh/XksI8O42GRb5VbRMuK7HWw7k1Xf9WeLmS0phqr7SM
+KbOajRqbBH6mNQuhtO2j5dR+jXpEJv4pJE0jWdTRfMnu03CFPk6+zfrOK/83O54rYu0DK/20FS+
kLy1b4zJbPMiH2mzF66pxVZO80hOAofs5FvBd91ElF+mFNJZoqN15dws62HP22nWm8/GUDKTDad8
3JQpGJ+rKylt74utz9zJG3ghHdC4PsG17U/bNOLC23W5IAHmoLN1np5KJmdbMGvaWZs90Cdjo7pn
yG2+rHnPbkzfiI91M8Y71+0+HWOl2LPRozXXGZ7mYh1JNmmPM/FsrEiGjx3j3VnkW+20Txs5eL+y
DzSuWGhjIzwW9s69mpiaJ426uD6eN+8Poen3I4aDc8uVF2/yVLuoORnx4+AQvCyXFhXJI1FrlKbl
NNvtNz8LtF7Oji9bKZGrnlFZZYuedk6PqmHzG5GJ6p33FStw43DZD6r/6Jsh6uBId74E31zvaFDX
ylTtU+JMdbaLLddxCo2O9Rxrnc0zuzZkFsd6Tu2z3UV+FqWbryvZwK5PuxxvcsyapEVr3SvXKfdG
mHF9lc+5Ou1s5B+oS8uTuTP8yLitmJ7nZO6qTRpZTqshrzz3faVD7ik79RAyr8S2qldNJ9e3qa+a
x6OhvtNC4CkvtqXi9XkX2/pgFj9fism5sz40frrIZUR14ZWLN2RY6iseq+asN6K/bqcBB71WTUc1
4XJ7kzqnilpt9JkTbf7e5YqzY9d35Le5nt0HMtnsfb7U8qMSzXa2skEc+M78UbUzftM7ha8XXrOL
dgrbk2Vcw7uFr+ZyX3ZfrDM1V2ltmlAg2A1WZJaqAx835IvRhuWNhCVjOiaMn7k9ukWLLrHfxpQR
bYQZplNGuu61UFy8xlOKh7pHtFCNcHfT5ueDanjzdBHClEq55aXEST2f+5G+YiYNTZnVuCA5EZd5
lfc3lKRwbbMc5boyaW41G0Y7akRoeNN0qjrM2TPWb+nJZjKqlWjDxbwP7LrOV3VG1mw/jxIvtxOT
8nwRvbsaR7ke8x7lcyEaL580tTO6ril9N49zfLKnSiCNxgmZQ4dYdxParTlzbnLzsSdZhfS80u11
nWp2rKu5KytXhzeK4+Xj0Iz5G4JaqiPsxjmdpN+LtW/TeIiZEEl7utun2Df1NUHZcNU2hh1T07de
O9S7c0HT9KaJw3as0YLmU1gnUy7C+attUv1TqVA8TiF3L9Nu23edn1urg/Xdi0U5219WfpVtEbJG
vphVzHSNqJBnRkqq594sWHuT8OtahnhJOogkSOfmPHRiPi3B+UMWyfZkTJZk56KaEStmvpFNE1jW
J7jK27FY+hiWArfYv7Zrtu1nllet/l5uP0D629BvgzX1F0fs28e/Xfd33Ys03N2lq5v+k5Xz92sP
P0LK+JKG79Pcgw//kHf/SWZ9qOz/R2kX/VHave4+/EHahaGf0654BF4PQGSuMMh9BsL+a9pl9+xL
AjsWYBWRHL7zLe3KR5IjwnIlIE8ilau/p13+SKkcErJCCCP4AqV/Ju3+kHRJLnOhCFGQwD9Tg4dJ
NxuZW51zxZSSvxhos55RI+RdjamK5Q6T4LpaZuc+H4rPDsjvZHssYD2+z/YEhpKc5VgponAuEX34
4I4rPGDqCixnA3mhjeQjqpmwT3zTKHxV233PdFuZ4dkmonVFZ+KAD8m75tlumDF6MOLFkCH2ZiMo
1Dp23faajMqqwi2oudlylyBlB1wvZR3m7oPL4rKXtpnbSlcjDhdrpsZUTsLloRy2RQw6Yc6n82Tn
/lKl19zNiERI9VuddJ4P2ePU5t2oTe2xOQgeujcZINtHtexbVS6Vf8sge5wozVjQZmPJaTwj4Cit
adu6rPGmvO63HSctl13EQi1o7IqNhRxrle3iOo+xg5QV+n7SCyzA64pm63NST9ta1vvkB901TbYX
3bCHrehUt3SQtwZFYHWmckMbfgcjZu33nel939Tj0O/xrK8XfNW30l3G2bJQuBnbN9uEt6ds6uXb
zKv1vTM7oD4ljSRHMZvBnvhE8EkiO22Fj1EdsnqNTlddOwPEjJCEc9Wzp3s1yFAmnrpVk2b0fYGm
yr8YJZ1SmdOXsp9gvce4Zlwv2apa4BkuU2fZaGt6tki0hicx76LV84YzdJzaqVht67pDm1O7a9Pb
6cVCm9RdNl0wfUGpal5aKXw6tIjurZ6rptFpHVaqvdyHx1W7bZOmUti89FXtmsIi3pmC1r2kB1Kn
aj7RlLP3NrT4PJN4rgrR7YhpMw8Sa/RSBRnzQuzMFc6MotVxa6qqUBG1trBpTpDcaaWqo29Ss5QS
t+ydYiofdRB8EEfgW21+OaBp2R5vMVNzQTZ6jnORn7HMVUH7bsrpYdvzTME+4/5uwvxjtscR6Rw7
TIqkcCV1hHR+VY+YJO1GWeXFwqtb0eTsZlGbepUhbMoOzdWmQ+jsc8/m+nxcR++upxXCHWtmZ/Vi
XTffwDxkNup+Xyd//r8f3wE7ERagcr5VVf5BVP1gg36Wv/dC5dvYz/AuH1GaI54rgFKMgVR+g3fx
CLAZIA7kEWg4ihkUYb6oKvFIIfwJwRX4H5KAdPqqqvgjCd4wwGOOCWKKsj+D7liCkH8IswDrAikp
QZ8Rycn99e9EVePXtp4GXrT+jI92u4SDb+Yy4yneic6bU7Wh/FX0yV2Qacme7nVfFzltnnVdvem+
Fy/ZioGUbKKpC1arXkPsU730s/O62YdXBmC3iHUcLnyzBVGsEAYgjKbZaTota6vDMNenfWrRkzpD
6kWYQzhmfqux7mvZXmeJf+R4q9/LBrl3nctR4VtHLvd+k+fUZ/tZhXFzGPM4HqxfAI6XPTuAQu2P
PdC6Qy1nctbn0h0oCnMP4QTTWzuF3pu6yeEjf2/mcb9jYeiOUJcRL/EayCE3yFrASbQ+To1Al1tu
zDniKz3KMI+P5wrQK/G8KaYcxSI6tx4Wa80Ltm3hQPna1XpwYtRQKcwPoevxGR2z/BVqGXs7NH0o
CZ+nQtEhgZjKZa1VqCFnWd6N1wbn07XdCb12fRdedNKz2yX010kpBq+H/Jnrh1yv84iKPhtAWc1u
NFoOGz/GlrPHk2X8aJoePi5bKPwykPO6Hdq3RpDqMK2xKvO08mObr8PjBUWmF7WEQlSucxoyxXyu
+CzPFGv5xSBa+rpRgl0Suo2vhmVnN3U3seMSHT2JaqlvV5YWrnEj6gtAz7qMe71d1kH0i5Yu7FdU
Va7SPONTD6+ZQZLO13hA7SK7cuSVPQXXk9O97Ljoal9vVwuItkuQbOLtIE18L9ZhOAz90WR7hYGS
7umA51QfpgYYdG9tez532DxD82RepG3IXKnA0DKa1nu6VnHvj/Veq7NpiU3JbeCHdcvMK2uHULow
THACd/4mzxZ7lrYllKBO0RmWYbrGUZJTTGu6lN4PH0BaZBc7N9MH329jp2WK61F0Ez8boJbzfMN1
dgqVI89R8OlskC5eDGvutcky3BetmnL7v4c6P3DmHjhWEmDun8PqD6XlT0bV/YjPYIoZOFESHGHg
olRJggAXP1tUYENJcK3yHMv7wim/dyy/WlQUGDEXFAg0Arsf+OQ3MGWPiEQE6DPQ3PtqN4z6Khq+
kNQ/sqgAtR+iKUVgijLOBDwPIynVPZv+Dk2lHwlrpkr7ubH9etrQ2nggTQHl57tHm3rSS9NZCF3r
6qspyZRKmvwwnjdmVa4YetEBRBIxvJRTZ8eyd4tZrvPAa6MzbiOx2kwRqYs+4Q7gixFCfIARDtES
j/0OPLdFmT06IofmTG6s4UWPmiCuWDcuqABXLgt6sGjiuk3ZhoGSgJlXzGsjG71mOIBnAalq1aMP
DpyS0dErxuvstz2zgoPHAvijOdgRV2zMzW+usbQpaEu2uehE28P9WlYtmi3OgsZVRvbAaVINIt4t
7V40FWlsQZcmH8pNrCnqupFLApysIz3SWQRxEMj2ociiE9sZ65h/C+hNnrCaBYAO4831sKf8psaK
vw0mqQ99RfKhGDc+WV0PI2SWbZqweFsReOQbg2PiumGQa6424vP2AuSKn3UXSAVWDocce858t4UX
dG9EKvd+X8jByT0fC9lLtR/QXFe1bvikXocwUvyCh3rar3gzTI9zUSnwIlPm+07bcdovfKzieD2O
FfLnpJlU0r0g7pIICsZTGJf1bWcqNR3BMKiXEayFrnod6mYGRM2zuj0bq3qgYKrEhh6iHeP7YesC
1ntU8rYWXVUXiGzs9dLy9A7ZlPED9i6dJhX7WNR9p27HKoShbBa7jKdhB5utQLgNTHeKt0grZYbL
hnNw3LCYIGUMjZBb4ZgdvUabmOW900dlsWKY1omPYp31EKfxLIUs+1DPmV30CsnuEldj/TxLdvyI
GXuVrOmdBjaKSOGT6nvtG2VfTAtQT1ggF4/e45UW2T4MmRaQ3t6QsDqsHUPtpuXG+fOJzQ3RcwNO
TGFrv/d69iLPdEWWkQCHb9e3aycoKtY4dbckZXaAHJpwq3cwXZ9FLzjMDWPbHsEsAnvYd/PuCuBn
w11N2uq2WtruWlKG31u0N/44mrCC8yhjN5dirriD33b5DVQ3CDs0ITKcKlRB3rJbToOe1m6/YRnv
r2fKJ6NjHNZduzmoVKKh4rlWdQy7roltwgVJAx21RSTYwvCRLhpVy4Y0AU95f+vBt7xtF8zkqW8D
6S65mkwPR7ftxxedIawugdIDCZkTcU9xw8nzauvdY5yBX1XWg0MfYpzJfjRWAI0a50a9bbgRz5JI
+dsgJbiPc4+lPQ+epnBeL769jj4gp1tPwNBMVjZ9kSdl7ggYfUbzISoEF5edFGNUW6s5DYspqnX1
r5ba1DlAGcjMV03w5t3U3O9P7hvL9JawQqXYFoC+1XoCxpNYg9c1mAQAUtjEq1w17StE4GkH8GC3
1/u20Pp6bsdBwDkEQ/T5AI5lVVKUCVdWajdnjNRxOYEBwtPBDGL1B94sw1ZMMTBT0sy39/69GJDu
LPNW51VrRu0mmROd5RPtS9bhti37uanREcoI9aRNcPdvl9sslCDD5wjvO9urMSOU6QAlENDku+qr
Ug20EsdNZvO7DMnwrmWRgOhesn7W4JuZpUyrpbv2k9oa+G3SqoUcxbUfu+X9qNJw2a9mh+yfc9Ds
buvXvhwFo8/hwK74sFWtz7VhrF4OdovCl5bnBJU9BFynKd3TUlRsoqD/hWqWg5R9X19XNarPB3Am
d70TaZ7b2M4JPOJ9OnYkAiZHBlugoMTQgqsQx/aq2kUXLlPrm08y1UwHBjlo0m7nTXtUVZvyg6ja
7jerIhyKyZq1K1LM5fOxyqpd817UovQJ8h0c69W+sxYkfzGMHVJlDqH2kjGRRr1XNFxULcHjwRnF
m8Kwvkoa0BQhDTljGvQWCVc6ZW0yEKQ+i6U3AYzd0JD2tR3rqitlQhzrCL+2Aq2of02AP2fFMDk4
fLNFHVjlXcvfAc10pvChsuUgmr0+RNzXvcZA4D+suUVRQ65v3ikOEqA7Z8vIl+V1JVoIaC3qAX9Y
Uts9mfbdOk3wLs/56Nr5VFniPjYr8U/4Kvgrktn9nZ/IcFtngIXFFoL4gMcpq/QWEHq9hibfNB2H
8JEZXp/WXYZLj/f9N4vJdJVXOAZdV4Hmuo8N0M0YPThVNgZgi2nHbwRvTK1bGRwoERj9top0CRrM
wP25s9n+0WVpvsASYKAYLEunxTf7VNSzzK8Zae2mG9CxXM8DAb8FRfCxdKpnfM4nCWdmWqBQoHcI
GquraZkpBMosXjqTIXAuhkqCE1SxFI+sMf1UsnVYwC7hDl3VPta345o5pdfYU1Zw7zf1zNAd3xcE
QNeCb5x6U2RGLZvTa9O1YFIxN1t6Axot1TBwT3i6XIhp16f73vK110Qsk3pscjy7x8JkcwOZZd2r
7qXwNrlygeoPnAEn1+oMTKABLTo3LcLnW8Y9ejZsUeFCssG3JZIi70onaH+lQlT+sks1GHRyb/Ct
VGZZPuBtM/Fx8JXPSkBgMJlWn0+23BZX0fuR216AzKTvjc+apaBoa8cKoIhVqYyTrapyXxOqzsdp
m+o3Yk8ZO4zZ2DUv0zZ3AayjBjVnlV2MsFoAyuOi5RssTJ7IBtu+j3P128TYSA9o6XJ2FqagZNBz
7memALh8HrvjwPmM7qIDGNOZgk6iEyjpDHzIOecgqzRXLVOPc5uq7SPIJuSejAAQwzHRVg1X1pkw
XFXINfl5nTu880ML3GJdyh11yB/rpZ/kpXENhSrjboJ5TGbmzfswZENe1mlFsE0Nb1NhWQUTBSex
Ws7WamJ01e1qKPswrWnyF8bNm3sqeY72YgA6nZ3A4Uvoouq3ORZog7N75mMWxTGi3fkCjmmgBd2F
xa9HtBN7MlECFYaDzNdXaoYyju44XyzodRKjfJcvGL9dq2wlJxBK1Uc0QRH61LkGaqveuI2A1YtQ
o8kOh7mEotCUjirOMp11fnDbOay5m4oNzXYsxNDEdN0A8PjLuiHTXQY0+kqtlfxNdhuSR6w2Z494
GKFmS9Wcb4elsx0pdomrvQhcGF7uuwSnmO1zeNKrMQM3bsKoL8DAM+YxeLEWSsEZxZtWQLVXPfQy
vgdMsNORzyPYIAQjywpDl1ldJzlBmGPlaTgwoB0R2NpkKOR3EqeDEAp9jBQ5YPC57YB/Q4WNHsRE
IgE3pXZVKbBcPXCQOXmoBrdsAOtvhXircg6o10PefMVym8N/UhZfBgZs+jhtMvFiWBY2Fm2FV3Ho
pW2e98NWf+yIaFwBddip1fnKwPXpqzbqESh1KkMnmQFRPE4BfFmx5HrIW6EucG1giQeJ6jegZ2Vf
TMI4KO7SoWmLjk8OqEp0qH5Kp8FM5x0PdgV6u03hki0+NnqrK3Aj9iVrurMcDA1ZuK4BI3qeJtdd
xXWAInHwKpJLcNw3D4s3ZPVhnu4L3U3AS1ZmCHZBy1o4fmBhV3Xh4Ga+RFOsqyKxwY266bduKswy
brJcmnrZoLKXL7dztntg0WMd7sAy9vkhVl1s3ve+Z9tQRpOBuNhG2+/lLvAY9iIGOaupoCaJwekw
J/BN9M5lj+cjyI6c+1JyQzgUxleaVYdto4kUznVSXivA/Opi71IzPJFDuzZvJF/WqQJjnjbgBQxA
/tlLoJ4NBYIwQL1wLz6J5i+lrwfa9Ful7LNU/fbxb1dfe9cfVtA+Cdy/f+uvVnqDbj7wK//Qmi2g
ZX/86bmd74Z/bHv5Nv5r0wuTjBLoUFCMcGjW/GooyEdgyd+btkwQBglN/r34Bu5sLhh4DWC4IeiD
uq9Nfel5AX9CgTkBJTtEwFCFit6fMRQwv69yPeh5ue+ywhTf3/G+LwfKfN8bCmgB4cEqV66d7Jqy
iWADToGvw/9QqoNw2hHEuNzXf4NUB3cCwEDY4d8m14niEYA/QatC8c9EOx2mYTk3VtrqpPCyPM07
b03JxzH2ZWOFBOczYlU/ZW3sel1JMOmv+70Z+tPQKrHpBNX4pXTNWr+2+TLGsjLZyDVf1LQcctrl
/CJfEGlPFRQb22LfwGyBvhmGMbjY2V4Sc/88SNBjXYjYJwPNQS6xYocCuC+UrNF7SiZ1PgNlNZpJ
vFZl8lDIP0BJt/qgqj4BG81p9hh4F0DuHIemOUW4xXPM9/FZA1jda5e5CRdpdQSS5Njt0BNhOuCf
rPqwRCb9AVW+tSByDA2FlZ5OWnbZ1pyU64FuN2IR/DS3HdwqjH58nbo+vANZBsYB9GjN8WD6zKyl
yZf70j90NMXjUoOJCkbrOhioa3Kg+xzqGK+EakEkJTqh/QBlq3glN1DaUDPaDdj4xE5AV+pKtuXc
EvEy0j0ORxJ9nZWedbEuFPRSDCda++aKyCo1Z52Y7KztNAG9jWyGqugErOip7EnEGuz6Ni92Du0P
wN+WfS4gIc8XdEsDLsnU+7HgAQBWD5BK6AnNA1YXPIctPyRKaDpvrG+mc7+FRmnu2x6Ko2OtLBg/
YgAZ0jTkckYGaoOfPTFjq0XoqR/i2z8PxX81kP3SVsj+EGYfNDL/vf713divDQ5SAMZCSoMAYZjg
bxUwBg30UuWgUZgA/KX3Ru+3ChgHNxbgF+yce/jjAL9fMJY/Qhi+Ch2KAvD6vmPiz2Hsfd/gA4yF
pkJob2BQZwOqBaj9EGMpaL+RRVvkI26fUJfnHwna2AJHeknQXGf7xevkRlQdHFiDoGbrQF4MO67W
0o05iEPUzG85SRRpH3oHByrj84fQ8TqA7hvtzdzWFGzAet7Gi6Zad9D3o88ybZqtf5mcJKuusgxk
BJT+3+5OjYverYivOjaZYy7bJRz2KOa2yIAWOw1yvbqxgtT4YLsqPTYkk7KoegzNWuuQg/jADXWP
w8zAeKgH03cn4PvVVQa+C1TqBgyxCO1/uzrgzYEE2zhVk4bWBuCSO+zuuevnLECXlUIX0KMmSNm2
MwTaOOUtAbixdVcss83xqeK7G04JOieecfg/mkDWjx30BxDTrLBMUCV5SxZI1dDmwDw+biTcmxDd
NLLrFTxc6PnKUn9nNjkPBQDUAktebfjAM2gaLzHvVihWRftuhPS9FmOqbA5tZ+10hkC4rDoYsDVL
FBxwqCiA9B+AitP9oAygedE58JAOfvLQ5Tjy7W3k2Q6k1OX/l7wz6ZLbxpbwL6IPSRAAuSWZzKnm
SVXa4GgkQHAeQfz6F0xZsuxuu4+2frt2l7KUNRD3IuKLkNNeyUlzFuMt1XLfNqvTps464noZcBvD
mGy/YhioJrVLgfcOF7IjN2PehLjfRrJNhqJ2jxzn3PKKd7M8DNq3n3zYZGeTd5C452mo3/LB9679
rh9sYse+rxPiyPmp6yJbxHMescc2J2G/8/2Wv7kyGo/5BItNmgVsFlwE/rkQ7scGJ3uz6xlZUqKZ
16YdrrYdBhHhmDXO2H2sVVS2OOMLel3yQEOChknyfs3BKZ4H3O3VzdAy76um00AysB5RfWAD37bw
KMJU0XUrHsvQ+s2+U044Jr2U+CCWVXLfMl5B39NBc/y21K6NZTKhtOZYta0pnLhcPC4hHihHwzHs
uzrR7ogbVL5S3+KlhLxE8zDC3MxHf5ObK6i7eWlksfOkuWUFI1/+/WctnHeKCMTlC/3GR/0Ha3C7
/heQ7Mfrvp2ywW/0khbDWYsTM8Ct8fsmu1ljDPxYRF0O/MDzsGT+fspGv4GvgmvGcPxFWHTDP05Z
/psLBgF7J8XrImBov3TKgrL56ymL94S/CVsWOHE/CP9yyjayHmnv6yToIn1tAUPWSQ7fRqdlU7J7
kDXixFdcThPdFTxj7qi+Rh2UHscjRTZSv8goroOAHV2RDWrpk3rgbqaFJ674ZIA+VXU+2tQsULyN
D+192yA0zkKwrQcbhsMTBSz9NZoBMNZywIfrvnwXaFIdwryGlK2ioDh549Bnes7pHejdsgKb3dp9
G4o6i9yc74q1bPbEmTh2KXw3IUr0iidj1ARXtebBLfFy48UQS/3nfuy6HXPC6aMelns99LlI2iVg
e4wBSPNQjatHd3HmLp1lMHhxrVn3Ne/c5uy2wDI11wWPwYUJuysKnCC7QkSQ5AO2jm2qbMgSp5VN
H0e1Hdqk7Src5dvIb97Wqg0OdFWDirXJ3au6lMH9CEHrZWaRheEWTiA3eBXl+8JxhDoNM9gscHP2
ZIqBjg8WDBk5R2sfLNDae51jXEBOJcfGly1JbNcKMFj1qvUO8rPyzlC59HmeWn2Gla4/dWxV8CT7
qfmQgxklh2rOh+YdmXEPu4bFiU0siOB0pkJBFo1bg2NtB8isLWLm87bZaTX4UUwHiJsTVF+y2M9e
MZXTtaPn1iYRtlkCCm5s7kuu9Nlxyro/jrKJolPQekX+jjbELw9rRUTM1mlkKV1zrItOYfQ3vaPD
KvzW8MUAYwiblEEs+7K2y3wslto7k6kRieOM9yQEk7H2U3uyNtSvuCqyowe1eoRXMvlvEyUDGIt8
AdfsyFrtSjn7OwDb+RjXszA7PI35Z9hzKi0C7Z2WiTa7tZKr3gdL3nTpIG2TrrJt9nad1W4tp/Zo
MFhvDaHNl5mOUDhc+D/XerLRIQqb5c4bTI8BjTcyTz1PQP7Jw6LHebfmI9mFtYEZAV3p2FYR9una
8PCtJvP9opxr6Mh9AUWeYzZbfZa4HB2gqNAThM4DW0y7g13c3K5y6dOatYdiKZ3bsqzTfHE+5L66
GTmuFa7HvZeqWO8bxBjqpGL+syQBj/3W7XduVZsnPZMKG07zlS24H1mHkFisWmKuq9lkK7NvoQtb
1K+Hz0Fu/I/OOB4u78qpAxWDglXxUsCYXCLDYqLbl+0PyHG5LxzvbVBweRUpJ5AXTZ+JTvKj6INi
z4XHTgupr5ac9g8dH2AgUcY2sc9NoTHez7IhfeyVkLVwhF6D2Yd7U+ob2uibEvp51qj5c02i8UY0
ATm2YX4zKYQaYlr7p2CkJqF2oZuL4pFzaMoyE0rN59DDw+91i4rJosMPtK+8t7rvxns8GcNnVvkm
MbI7TKULLICN/hfWWbtbMIQfxtY1+7yQ4hYWSHCAkvXo0UEc2oqEKc7xd4O2xb3HDEnl6r74Yr6m
rjnw7RPknQ8tuQrquJERLIM1Jy99DU2NOrgd4j/Gor4x/lKcalyTk5mM7q7yXXYgsuuwPBRTXHuQ
99kUvDljJFLjB9gWufjcD/jM9VTejEU0xYEjyjMMy/UZfCK2TD8qYKstyL0w9x65DhVXuEVlhcc/
rzBbYqIUeaq6yXmohqjERW0I9lj83+oBwvTemO3HR0m+xrDJD3MJUsHo6D3rIpKWDrarqtI83r73
cMTvCttCaRbUR15l3RBQw+FkUEtPwuDm2ldrOpv8PVI1mWchGPRWmiB2XMMSBZ08bYDU7kXg3K9e
uRymajE3hi7yCbzCFPs6sKcaHjZsYhl4uwrCZ1Y01E3yaJhBy+JHX0JSrON//47y/U6Hof336M6f
cpP/eR/Ea79tKmiXgGoG4D0IiEs39P37poJANYHZC1ASv4mMgb34sanw3zyEF2iEKx/oLb6tI3/c
B7FPAO/BDMId0ocY/iv3QUCUf95UNi1wuw9ihWG+R4MN2PxZc6t1NzoL+JRO5jwDyuff1NKzd0Ax
4WU3wjnmyLVuYjcr7htTqNMCueYQemq+csDE7Mzsm+ua9GGBAbzBCdyP2BXD6fsMU5TseYFleJDV
MKQg1b3j7OUCtJom4p3nUsStOieA2t/R/MmvfCgxc2kimiKUMmIqd3aK+2AkDw5Ot5NDBE8aIvkD
7nVjBBnFfhhLBrxl3EAbWWDyZqKJwAsOpC0e4N2UMTyMLskNZ8k89l0yTSFOL9jgMg1dbo+rCL7A
YW9P8+iph2nq2L4ra3FqQEbCiIeJUPWWpZ7w5GO+knpHdOV+ykuyHMvCXe4j4SsnLqpcPDpF5WE0
DBF/DhcWPrVEu8fQHekXyUS7B8sRt4r2sa26IYrHHh5U7tVYUnCGN3unIuvnznrh00J4lSGbNRy4
Ut6xXMR6HKJQvS7aIdf16vCXUMnmduIulpu5KsLrUIRVxrqeZIoALepAZiQAulmKxJr3jMsKPc9E
1hmOlGaPooVm15VBdxeVOjxAnx9OysVcrnzuHES+yA0scDGYKioP9dqPaQg7Oau7oUw97Re7KvSH
g0CIMvUMLWG6gsbhLnwrp8vxbReEpXVvWDopfMJZBPMtpfhy4GE4R+tG0zWZvTFdndl/WR0pPzVe
T/Zj7gUZ0Yp+8Db4Um0YZrcBmVsQ8sQ3SLPacE16ITfnDeJcoEfG1dD0V9LtaOZHsI+WZREQ+6Ly
tS0L/6jgRCYNvu+IFoECZcjKXTmmp5mdN440Uq2M1xlwadjXQD6iAWhwQeHTQHyuNhi12LBUCR+f
xXIDVvmFXbUXjpVvSKu3wa3dhrkOYxe8+hv6CpXUOyBLBudlA2NtoRDKIBsuO2/gbLshtOMG0w4X
rHYDbGdSDld2g27Nht8OG4irNyQ3vNC5iAb4kFID9kQ2eNeZgPGOgPA/2wGovXa8e1qaScZ2llGG
ZKne8do1dwNTbSI5gNK1xyoWA3iGI2O1OeU5d+5rb54/IpbmpmFUOcV5qBTbhe26ZP9/xsA/Epy7
j029qv80Xr7PkB8wZ/hbQAGwA7TH5oADPcBB/D1vDMnJg2KI5gyYLBwY5Q9ZcEv+Xv5PtnWg+Phs
P2RBFgabuwPMHlfgiP7aGNiuvj/LghgDYEMxabYkBBJYfLvQ/sRyMj6ueFD6tFXO12UiS9LDX3iR
PliiIcjli1TABuqQyCvoip+cRj2znl3nfn2ozHJNar6L6iCAnVy+W0kHNq6Gh5i2I9J7s7fUB6cZ
zW1V830v5zJ25BhlQobLzgfBmTgkfC98d0ol89710uRplbcGC054vdS02mnayqvIwV22qQH1Fb6v
46DK3wUOgKe5ZcHBknJOK7jK8I2lzKjX4NaJQdLt2xGpmHL1PnVV+by6nZutBsFPKiRIG63tDYT3
6SbwEU22KjKpX3d31QBiNCnAc2W4BJCdV8jpGffm/OyCnN4jaiIAD+KdzMTOBzf0TTrxoMOQLJfE
DusHgWs8tlhqUuiCKptd5T0CEwxxodeYLxNxzxGyhcclaKej4MTugYYNWTMN9AoAnv1E57b4yEoK
f4OWYCJczMT3XdUYnDGOk+o+p49cRzxRSD1dq4jO9wi7Y0LTfgUe2NQPLRBYEDCNt8eSl46B/9qp
CNh4dxhs/XnkbZD5lb6rQgdU2IojJPTzLnZU2QPwR/TGK7Eu42saAI3ovjWJJcEAnTLAJyuJcyC4
KicLUyQBGupDqiyBRtSuA4uI6Rii5hVRrpc0U8Svp9V+DGXzUepNrgWfL9waqlxnKF7MdVyovE9a
i5xow8htUVMFn0MbbKVgRotukACzfLsHwufGSFidetmuiajXKulHBdx1doqMteEXpr2XoqweraVf
Vjl5mbOA+gH8n8dIwmFjduSVAJgcE+Z8ikJ+nJB67jmbd3g+3s/e/Nr6S3RWy5rHBbD8WIzNJztD
xxlYNx1o37YvZsxvuejcRBDycQnkGx3Jm0OqhwogE2SZxgHjGUwHwjSgUN+TSceXV7qazDZagqqq
dDYilHWEFQpwcXBh3UQizhdB8F0LIf6MHy1kZAwzSC7zXLpnEF7uuZ1m9RlXNS8ji4cM+Lx42ewH
bUqK1skk6ZukQygaeEonMsumEJeLqsC9rIseFl4NWVfio6pezRukSD/2KfWSYahxX52FnE5+xcSa
hrMfXvVB42SA94ClWSGXIsEbtzsSCJv5wFPuQI52R7LhUqVa/Bt72cXabS2zguLWtK1q3ba0hZf9
rdxWuemy1XmXDU9uy14Qjdj78MAzJGda8a6Ylgjyw7Yi9pdtkW2Lo0OwQqIfoX8G0sCuBviaFeBk
Bnw7mgZz3ROS7wbQylcBN/YAQUCdsMIV9w6MFFxStwUWZ3EUV9tSC2rEu1krypCPxogbt2EXXeYe
3UZgsw3DrvR7RCPMXeP3xZkTuiKViefjkCtldqFV6qaqQ3twOUBNaoqvfbcAE9OtDPM0t4AjEA/S
yyPOiOURzqM9dK4IXkgV0DMNZucwBdOQIhmjd2NTmlMz5vK1mMbgZS2cT//+qYt+KYBVGE9/f/X6
cyvKH3evHy/9dvMKfwt9Qrc0LcNMcnmAO9m3iYsQMjIQuEPh8rOlJ3CH+j5yPQ9FSohDoqcnRFAN
meIfIzdCdNnFzSvCIceg7gLL+IX4BCF/yfyCmyBu4CHPDHgCRuFfGz58QDi1ndas87z8zrp59B7y
NTinwYS12EsoEM2x8HKaaBpMzg0eZHsPNqtEvrOrHR3n1dSdAuV1SUE9jC9DpwqHN5RhCdS2B93v
I6lzO4HzuQ0cd9gQo+lgSzviUmS7Emh0VKHfAkqAbBLM6/HR8azz3tUVf9bGyEdaN0103wUlAkz+
tNY3NpJdlah+GvdBsEpc03ggn8dCaZ0qcJ0H4kGnTRbHbhtAaI8SJvwBKmeXBHx11d7PXSIzRksO
2rHw2Jx4PTpNihB9HkjEur1Jiy1036iGeLve8forf8vjm0s0H5Q1YvpkS+wvl/A+vwT53WEluFcE
ub0xW9K/3TL/WpQSc6b1UrU1ApiSeS/LpSZAYjuLR8hX/MD55CAuuvBH51IugFgKigZATNWPFrFV
Fbe+W77NWydBGKKdQLuif3BRbALcGd0Fyl1QYzCjhyTjW7dBubUcIKiFQVZ16PcA3t1fg2yUt9XW
jLAi7zLGKwCoYRdcyhN6PAxHsjUqQDuI3uFXdfkq5ql5p7bmBfhhyElsbQzdpZgBUlWBkoatrwEd
H/UH3U023xHeQomC/9/dRCCx3uC/IlpnGbuhOUfadtz6IBBmKK5FB/YXod7lk6iJPUai0C/luE3b
EgHbW13X4q4u/FnsK66GOgUm3ocpr9zgpIKcfxlEzr5S60Rz2mAu6VRGqLAAuDIWn5ZomWZA6T74
B9jCOina0PPjqYjgcy5jiVqQMEiZ04LRRcVJdEQqpcV3UE3+0yzm5q4IYVNkNfhC3N1L8MulNO5+
RMahPtC67V/pMrr7lpfFGQjniqgB64wPzIKy5yZC0UniNXDewe/zYufDdVAHDwH1DBlxi8y2Xzjv
vdwFHzoxshuoRhiohZx2PdGBH5StkR5xxv4qH4V5FMD7Mh1G5lE5yvviR/WMvHY+5XBx5tWcSndA
3qcEUX+Xl5HcFFaZlcA5UmRORJHU/mI+lB7XJ2C5Bgln3QJ09pDkJIly5mbLUWIxcQw2lxhKUA46
aenUC9mesbzGeZCKwOXXhnndi3HmINFe9LXFGP4QRBP2WRKgsjUZlQrchIS2mTLj+XM8VdWyX1Ux
AKQRDn0Fe15Ccm9G/2VATc67ZQiDh1YiNxNHbd6DiV3rW4Aq8JQjo/gXBQ9+7y/gQ1MY9BQ5/16P
N3MFlH2/mhV/mTvX9tqBqvjBLQL3TgMiKGKA5urBKYruWEoWXHXLgGiHMwlos7QQ7B6KzRSkyHNE
agcY1UHfiu3uVAjxmUJ2vZ8a5O0TZ66dY8EZbJ/IYhEP7arTEcUFXzjp4EyAgl326PVBGmDouV8l
WK+HNduo0GOHpEW/w2+YvnGDwn9ypbs5xTpsq7SMLIISCx8AGk1sOWDJahCs9BeVYPOWd/ncBHHb
BFvx0Vq9d1BfEIPpH+7WguM0MqvIRM8QEwbcnH/gPZJiSVeLYmfz0KBFRE7tmELlC7Dgleu7zkWu
H3x7RMCoh0iMJTjL6uexwgERu3xEVGgOqmp48hTBstx2+g0dJzIVbB2yqa1Fxka74LbhBBAcxDTd
dho251VU9YGzc9Fzcu3CAS8SFDpong2uiwBVNfrdcuhrf33rUN8DgpOH7RXxGlWcwDjhJ+lbw8hZ
BGEx75CdVSSlIqdfXGds7sZSlUe81RmtQtyFObjUW1/KaKYFBnrf7UdwxFFqcJI1OOZ50L5z8hwY
nMDWGddriQqcsEBQ47A0AcuzCsZMnrpUKp35oS+HRFfj/BVQQo7rI8IZ3l5W4QyYC+1RfP/v33l+
FwvQXfIPW8+fymz/WHp+eu13a5xQrDfoT2D4H/Cgsdx8T41iFQJthwazEL4029CkH0oD/vjWa8YQ
6oRv/lPDCkNR2kWIxofRvYZMwK+sPQySxZ+Fhi2xumnXcIwJ9YNtK/pJaBidFhMtBAJHXSQqkPaZ
rmvbOAqoXT7pXQsg8QgJ8oq0XR4krAyjW5wn3boLsKsdgGW4NwCm9RUdxZTNBazeuBYREGyIbfLC
xrgVwgwbGYgh1a44w6IaKSGKSNzD4vZd8UAEUn3Pbm2kFxfF4iczJMprqLlGxga7odlVsJlHRMSr
+tTqaHjbCjWAh+S9uXE8tjxGUwgvqlYTnXa+S901RimI7lB9NU8pusScMZmGqpEvgYUPlywgcFaU
UxB2i0sUYtSj23wGwujwBKfHOiOZ7YLeqxUrv0Z9d57aYiVX6ySG9WmAOl/f/oxsu1hYcLvru4rd
SBAv5MbOoZkSZMnQp9aiNK5/LduoqPag99ly8+9/vgCPcL4Fof/+TvFzj+wfD9ePF35/tMBi4Xbi
UkLp5oCAGPz+aDHUXkDAC0LY3BDm8Gv/+6MFA4iC4IWcgIYy7PwRnrrfRTwUH29JbLwKmWxgee4v
BbK97S/587MFhoUy2CYBEtkRvbQM/fRswfGbpd/rxJVeh7Qc8h+x00wybUBmPPOtKsWgMwXAFdpT
ykahSWUN++B6uPSrmNxB1wpoCIg/IxpY4Oi2X+yllYUqIwgc7a2thYo1OkwQ1tftDE/qKpjWK+fS
8dJe+l5cMgsoT4EbvKGjUC8pwgNCZKpE7PEwgO1AuuvSIKNB6lTxGiAKPli/jxK3hGmO2/2CCKkv
Qi9PGjQC9umIvkZsLF44fPI9vX6t6nF6HMZwgmPhaPcxkiOLduipy88wJiB76XGonGxAWqc9hRaZ
wE3tUOqwkAX5vEZNSFEUkA37K1X49jCJAJQtbcn6KAuJ9NDS9BKJb9TqxAXvwBtLUU1ljGMIMFdj
ViRLoyGdunXFDkH9rrjPTTePOEeAY1hF8nuSL/R9g0gs2Jlgsne4khDc21avbXeBzovPOBjGV6bl
9BaOCOgOrj9jU2thCsei4jOEPZRW+HsLIy2WEceayAwqJ4aGweQ1SwAysy5r/Yzc1eDvVDd676ew
j3RWrE60pyjXe8h7ax59UQ8vIhrkeFA+8qwA1UBaJwjzW3RgqDkowHzWG8IwuQs2q3LoUGkomg6f
3whRosZxwn0i912xxwWTP5aDh4BdoCffnnNsg+vuW/bFumt91qXnC+Ae/xSAsaqHAchLT5b7v4vB
0HxmN5U/e0/fojAdivSQlDS199+iMIjgLUVMp+j2f8dhELZ0bDyyQLKEbGcxapPYLVgVvqaNDHFY
43cHB7fRXT4lyEVMqfFwt0JkbjvmOUeMaEfbCb+QllfmESqjuQGlgvGA++/whvx4fSov48ODBoFR
chkrSIjRa4cgLW4vY8e/jKD5Mo74ZTThh4cxtYymwUNbrbDsgb1glAH0wVizI1AQXC23cRdsk6/Y
ZmDHGvcmJwOalErRrDu6TUv/MjgjjNBmm6VYWjFWsQPi0aLbtG2/DV5FaA/Ixo06oP3oOOsiJg8e
ah5Pqw/Zeff/YWpsgRic1n8/Nc7Lh/7Df5o/EKK+vfLb2MAx76JCGMuVz1EKSYOfNzJA3fjjERLX
23YFier3sYE2YuRpoBp5Ea6wFKfbj7ERQojiG8SIyA7FDwMT5ReEKIhNfx4bUKHwviBsbZkgbIUb
B//zSmZagMNG4t+ImJrxfQiaZ+uvWZ6KMhfPuCUUJ0rH/rWWI+rgGO6UYNaKGbEMyOntM3f78rGx
PvsqUAsRJr7qPCjGeevdG8C2qP+ARrAjhJhPslzBPqPfIpozmLisS7EnSqS2UUMAmhYK/bnluDfd
C9u4d76Xh/15yXHjjznifva8KL/qT8aCVo/aUl9joSoUUhzr+LYdUp9W67jVeZwLhACjtou8nQt2
QewXX5VOQnwxgPnBPDi7iqKzTpa1+WoC0zyQlSDhmNdl8w6CUU0OheTlc7nUaLvw+TC+cdjr6CKo
2jVFclTci7lFtcHirrmXodYb5xkytKNKRs81H7CXQx/TKjfJFNoeuDsT5DxT1rk7rh1AVRXrK3qs
iPaHG1vPkidhi3zpZNoAfg+v50zXUP73HVhwm8Akql2EXfzoFUlKik450AQPkoNR446YP461Nc1V
DooO8bq5nz+BEPDz1BcQFo4qgkd1aqxuzAOhzqQekeOM6qsqKIH/j3KtUiPD6AUgUnVTDBN7rWHS
4Mzz6dWoXTTj9vixhCNi/nwEoATeqKNXU+NjQMzSLlmRl+2DlcWIWTUWGZqlUIWAlAyIcgdldTpf
8DanwQUWV4Tm3p+HIvPcgbyFaGc4Dqqfr4ZuKTL0BGjU8LpFFjlz7u3ErNWNsmXxGoRtD0zU7T4O
KDC+YRX8rMXg25mFi1yOcplz5FwELY526onJZsgPMN4uIde5IXObjVD6s7XT1XMfrNOSogZQ3i3t
ijwRAvcQTdEhsIQAbasO9/9/SLvWpau+rkaZQ4jsOogXLFpPfjM7K3DBv8Ze3Y4LlAnkI692iyLq
aZ6t44AfAUyK+DqXxTVrm+VDqCG7oCcCzbGtgnqberVxHgY/NBlEYYWAU9V+Hiu3OqBrajr2Aic/
OpstXKzQ3WEYBBmPkPImDVcpMnwiW4pwfkE81dzWwg/2vAKmDioCV5NJrW98HkVWQAw8GiD6ddx1
fgE+eBquJRJF+24R9dvSec0D6lfIs63c6Ms6gFL2rSMQUp70Tbf6AvUO9fBJ0cI9fUvZstCmonZo
5qH595oswWsXjhNLRYnU6Iza5zWlhLHXpc9h3bYzE9FpsAwtEI7RwZeW9/qMjFNzH16I18JpOptQ
U9XTtQURaj/TkGnxhFkbrpluFXoGVji0zY47A8DaSMBf3QlE6fDFXIDb7gLf+hcQNwcv+ZrL2vJb
R2yU7rIBu4x1sIKRsS4/TRvQ26Iv5MwEy71zSUyhd3O1RFMSNPV2iYN/To7jN0Q4vPDC64UdRnCC
jg96Q4r7DS5WF864uTDHEKAmIKUiKjK4t/6xnlw4ikXtvFJoZddBJZdnWklOkSxmbh/TxoGugr2q
uml9ZDZ2FI9ulfoqCG7kCNA7nrS3nFENsFqwxAtax3JbuDLGUr+qtFy0vhZkpDZzJcoBBqukSP/9
o/x3kcT/x4TXIwD58b9ED3568fd5DlQD7YYoZse/iILR/gPpC37D7Y9uzg6ofwb0/49roPf3vVyb
54QUA647aPvaboG/FD7wt6/q52vgljvYygmQNcN6AIzwLxILR2VPJHPU+jnugn150fUBw+gK2qJ5
1xArzpDOmw/1Ip1PkHnrK3y168cF8srNxLwQsRhU+/Cl1AOeXe099UjKn5CD6g5MVvQrs8Kd44B2
3i2WeGTG+ShODH1A57yZVxSWM5qB7FrfnInIXVkQ/32HBwjzaL5pZr9MnLCZRVpNWzwL+xLqmbr1
88TcAfc9q1HzgrkVnvJGSORbu0Hc9X6T30PSVc1uwa0hiLlBmBzAmQnPC8DbBcV6rdPvWpRc5cno
tmGDIZIjoi/QNHGCn9IHsbeE3oQaWOOhYWJBDccbYTU2FfAn6JIuIle/m9CDN+/VaNkWx6/cOzQx
CQOOrkZLjNt7ykmVYOPL0HhTf4KyXwwpqsKRsoT4OT+FGpxl3Hslf+wL/KsJCP+I4rkEQyazcCj5
ZzTMjFFc14M3ZY5v/fu1y9WCVlV4gzvCiJFZ7Zi1j8MuXJ9GIpqnwkdBw7kXE06Ixa9qGD2FwETN
A42LYYE08Bc2DeNTEM6Zo7SJQ5SmPJSO8suPKxolgcdw6z7Nq0ATlGODESjcOD4BsakBYXKv2jV6
MXcdmnFOsPxUG6PahKy7vgnAIoMZvjLLEF3PDkQxG3Rwkxw93DaeFeNOAvRE6sKR0xcWqYGgmqOv
v86TGR5k5ERRYhwl9P5/VYAEXKBVP+QMOP4Ocb3C3FiL2Xw1VINXZBi2ElK236J3oaK6tTBv/ugE
6UjRW3wNcIFjoarVxOj/iFAE6yFtARmjtFARpBx1c/69KyQC5bPzl7pZU2mMGI4oRaTDcV4IhnC7
ZbmeQ3fxwS/N3RNt8s6DLle57wa+kOaDgrfFkMnA3E/DjtGHwB9gEMlurmK/H9fruXO3sJ2rD0s0
bJdER2NdBTZBaAwFHrZt5xjXvyqqwRxMNdbXXs/4cS17vi/4JFF6M3avA5/4EE9yKl+dVehXnUft
7bKM+iXSmBtZXTr+BFmx2JAI2IsURU1oOVqRv8R+jeKizUVVTay9liFsg544/E5JfSQ9ijhGIQ1W
Hh8184lTjmxnhrBAQDxfJTr48pGmkVyDgxmwT8RGDsEjzGTvRMqGfJ5QiXmrVGH9nRM15lOL3+XP
vRixo2Na9eg5QX2cylB4hkvriJYkVEMHepv8wZTwFacmoJ7OBT7CK3aE+0xPM/cY6rgaFux1INSr
alBxcorIVM7JTN3hAZXQgGoIdlA0jlXSuV142Xz59w+1jf6Lon+M0qHU4L/9Yyg/Xvltnn3rmURm
DhIl7qEhgw/xTda80BBgw0FKIGUX+FvO7fv9lPzGAbNDw8DdESm7n3omcXV10QaBLnWXUHz0lzgJ
6v2Fk0AVPAs5jj9YuZ6LW+9frqceUTmJenYcUb5XJyXV3ttUo9suRi1Xf4N/JAT3p6pT1jktsLOy
qfT+j7wz2Y7cyLbsv9QcWmgM3aAmALx3Z89gBCdYZDCIvjP0+PracHWhzNRbSzV8qalEhSh3wK6d
e84+hl/ZmSPhRYkS3DSP0Qq1BmvgubG75AfhLKz2FHtQDIBysUl0ZG5ImBl3vRiLLwaaOw9TyAJ/
qVvHhydTP2VV3l60uY1CL+4U475OVFPhPIFEdIu5QD4OI0vhYy6VabksRY2A4+JZOvF2Uyg0mWn5
+D4DLd9a/aLsk6a2q7NDVcvDCAvSodiBHemd0syy3Mf1qAa5kZr2AcxAuxsRcTetxQG2qZq4xmwX
WtZL3xlK7UdalD2wZyz5R93Fk7VC3Di0nNK3WlePNqZIul2ny4bkj6MFsJY9WcFF00WzS2MnPa0C
UJIoQCBbK/QYYvWHbEF/HBZxyxK12pBwj7YrwOuQjPgrDWKH3AZ6H9Me+UatA2eJCaAvSQ9XHS4O
xan3MaT+syKq/NzUyrNQ811hrmeLqV1aaJXbPFIOjQqeF8xxgJuTH3XmeM/WtfDjgsk+oWnnUMIK
24CG8nQNxIQxlAfXmd6cXjm2uNK8htu47MYvKQ7ak544rBO5DTRZeTvozUkboFs4yrCLq/xAulsG
bbsUQdGKwJjRnZMsmb7Wij3fJrEcDoXtxC94vZIwCI3cfL2y5xD+sg9oO8l7o3XKthtmTuF+GU69
lNFDqpjxvZMTtPQXPKDKCQFBzmcYOwimsUnljVfajFcKOqFXl3hV/Z9pdNjNM20blpY85HrZ2f9O
owNsV+7UuGQprQ763l2ZEXJswHeNnbkzu7FNvWR9VStp0n1VMeE862mWn1Kl5hzIxro781vld8OE
PdxbpJnWXmHPWbV6MZzt3Ls6aWU1ApI4ZR0PVGalxUUWCX6ERlOBD41Ml4i/cEq9ZgHs5TUOScY5
1CS1Q5gZHMy6eysvlR99L/sH8BW9H8IQONehAYHe0fthL9WKNGJkcvuMO/5PgPk32I61fAe7Sj+V
o1Y+cH70Z7UuIHOIOiXmXmX7EOLIY6ikOWYEJVFusrhun4yywmTRJJPvmJGzr6JCGr+R8UxVPi7T
kpymaWnv+BKZp8VKRwzBs+LpzaJ4bTvYG3XOmk2Olr5ly9P+wHIB9g9z4te0yMVHinVTXjqiu2S9
tVa0A1DOiQPpSR0t0t2QaGbrZLk4g7ukwdhvbESZgB+ZJsweg4h8ycLwK4mH2Dfy3PZxeaY+JAFS
ea4wvJgt4Rti1taonpKiI+Cgzfk2z3R5GxXVvJ2gNMlmeUzG7ijTGb9Ut0mTPihQilSJMVGwnZ+K
5EbJbKzXsjWxIdgS63Lc3NTC7i9hki8Bx/ojn/zywHCBW0HPJZQpSOE9yeMf5IHdYy2idM8u50ms
WCwtDhue/bj/sMpyvGMt0RwHmWxGp7wpx148DekYf6qYX36MU24H5IQivyUkfFrmOLpnUqh5H9j6
GQFgftMdCxA0PtRm34xdyh2grANVJojfTWkceH3K01LiDnJ4qW0ZxePE66tWf8KjYPoK1oWdQ9yG
xIKwzlrimM/RtNQXCLkuNQGj+YLLqNma4ml06feJ7mINvhvzHh70Pr9Tcr27teOl4V8Sx2c9ckH+
jSrsG9Mo7q18MG/GjuhDpff1vuKj8aN8CPcWJpRbzjToLFlOZVRm44xlDIteMGnJPdLNELBQE/di
LkeKloASVotYZnCt2vKYDhr5YIDeO2Nwqd/q2Jc8J3Wt+XKa3W3D12wnxjTa4thiDCsi5ajLaToa
ZYe9NMM5iiHa7ex4E49WwUsPL70WZ8pROJ11q1kK+aBSvU+AcHuxNn2wCchAcyT7Nkt3zK63iLVP
RTRdEASH09LrxZmIEJZpDetdty66o6mNt7Xq1n6YOenGFl2/tQkPYvlgJwVokQddWZIWuakd9/oM
7d0hvB00ZhZt+ij9EkF89e20tZ/tuT5ir8XFVM5BB+amwhy1fhVNHVNRuVj1dmzbIuPMVSjzKofU
PhVSWqE/W+oU3iSjVthBZUYhmI1xHpSAr5j2btpTcUjLJHMPqBZm8kUj37Xr2UU5/tBEw8bse2PX
gGz06RdrzyLWnYM6zMt5MKexeppsBdpQ7EqijBFzrA4jenZdTDe4ex8jiMofhRZ29xbQ1oe+Q5cL
yk7FzzimXNS8LOvSjNxTPYz7ZcnJq1lpb7zhTHQuRVnm7F1M+wfcXBLiSC7RcAPWmrPFzQBFzHqL
WuVKoz30tUuJktnUpcZwQgM37wwlPMqpbYQnDC7ma9B9Mb1aI9fgca/Bs0ddgtzm7Yw5XK/4Huy1
MI3eKnsa3vmtXC3IeFtXa46oAyPrOKdJxw3BMprLp5FM3HS1pL3T5PKhZNljE1sD3SCziN/VocL9
Q1xdyB3fJ+chV6N4D5yu4kBNljqYJ1tydxJqmW1dqwPxx8aqPk91lAdA50QwwsZ4Cqe2ME9VZ1dv
YcHVwgOUyI0jr3Mypq0BKi6PvFI3WGGpY5xx0QYW4od5le71Ucx7NeqUF0bGbK9Q2vVlFHb7oi9J
eTeUMoFbuEwbfQmn2240ui/qrHaQ7VQRdPZodbukgOdnzq3xkXZtdpgrk2OYf+ZZpbbqONUlX05T
LO9uNBHx7tVtXXVUSHn/+68Iv0tX/6Ox6PWt+PyPa6yffvrXi4L9C1FRczUWcUswHGctLfz1oiB+
cVaHNXdLzSRIxM3k54sCUyWmH0MwBamkmP5YZHFR4LJBJpbSTSQrB+rcP1lkXW8Cf2EbsY9VKXBS
dVh2uLf/5abQyaw1oYBu5xrFFaXEwl7JXt0ZvHh1XY4W0TyA1D15gAn5Bm4pRrdjsbo1HcSO3kt0
Eo5gdHEzG6GOezHRvmVXs6co7Ok4XC2goXQH2PD0C/3IkmbGDIRbNCKR/diuDlK2P+2uMFR736z+
UmcwsZrGq+s0lq59ckpH3LkY8aIg1lPiqpFbJHt3da3Gbq8Lf2y1DDNrYanbcnaTo0hzoQdcErgl
u/T/fIN1Lm6aSc1x2lXdh+qsgdaOMCvliYVGK2DZCDfzXTUuDrQAwoEO0yJI8cm3m1ARyRnuL/Tz
jFjyNspEeuEeFd5BcaxcBtQkeUOzHl67sqsz3ywyri3UHH5EvLM+OwCdGFZzkJMAlIK6G+0DLpn+
PsJbbvhcniCEi8EJA7XtzDPE024vIEgVJ8O0jDuCJvElZNJXdq4ym81euWbccVYnyUuLAv7e4x98
10a4rBZETp3gFjGQAJJTyxTVNdbkM1YoX7R07g9LwaZmQ6949F0nd3JD115ycKuufKxY2vkJZum9
2vOZb8Cyp/guOwD32S65alOplrcPhW0Xn4ldN8aFOH7/I7kqWvVV3epXoUtdJa9xFb/op3Ev1SqI
GYai7Lj76jNj5KqYJUArsIkho6XJWGySq7ZWrzIbkRgDJ9gqvhHBVZ9wdMF4iedhyd+TJnO+x2an
nunTgBRUjT3qYagRqfIK6Upyv+BVQJ1ftT/ic1W3bePI+Jwpo3lyV4WwuoqF0llG3MdXEXG5Copp
Xun3Kb7tfhteJUd7VR+zqxCJhyd9HkbEH48LkkWIbBUtk1W/5GLKaTKDiW4DeZU446vaOVD1EeB1
HktfuQqi8aqNpleZtA/nctiVS5m98D+P9aC4iqrhrwJrZy3OuS5qhNeUnLPg15vkMbxKs/1Vpm2u
kq3aVKHEF9M7Y1A2lXMqG2tIff5gxF6HPhOudasG3MVxeBdNCcIw5X+IxOWqF/MVlbCZsbl/DIBV
9oyl0g+vInNE7nLvTEq9xUiIeQn2vnWXphxZm0UZZ91vlmlqWSHr6a2+tD1JuiL8TLUMsJUYssFj
Uds+G1U/JqR1woGcVVWfpBC0BDh2KbdFVC0RIJfGOZE1Kp6mCZ+xVywqoWu7ng/zUtsMUvwiVjAA
aW09noPqG1+u9KaPRSYCrR+LJug01jgBJvrOH6NFFH5UuNXgL1NkZo9gXadqV/PsvyxVXOPfnaK9
2YjI4Se4efjCWsqexeIiVT+OzJSiB5tXWipYNAIGbit/qM3oq4YyKOh8Aw7Gr1zn466bQh7xWikO
md6BsUkFAz9AmuHuv+fsxC3x9waQb9U7SuOfhsHfj0x+6DdtTf/FXD1/aGH0QqjiD2nNhVPFIeqS
Q+JstNdulz+VNcMBqUragy+eS4XEzwcm2baVCvGry1D8swPz34Gr2ICJNq7/JatV2F2dIT8ZBtkT
l1WXO6gffB28Xg75e5UmZtA1eR5kkanVZ2edCbGKV9l2uY6KNp2jdbCsE2Rng7VzozxGTWG0HK9T
ZrYm4wDvlKgmpOwgJ5v9l9o2XkPRtXdiHVbHpWCv3WGQAlPCMFvisbjllc6ES+dCqAX0yg7vdTtH
b2EK93ofqzR6bvvrlNzlqvGtC3Vm5/I6R5vXmbq9ztfzOmrX16m7g22n3RQ8/So9g0p7sEZIDnzd
KRVJbJCaB2Mlct7Y14neXIf7ch3z3XXgR4003tTrLUCd3W7c0zrC7YCCG24KjBmy8ENL4QZhVX3O
G6jp7wXc1Q/tetfQr/eO+HoH6Ya4oPSBa1+xsSMxV09Z5ixnMYTOgTOjPScqh7VYrzZ2XQyb4Xrf
mRZlYRNfOsmXQQHlfrDWyxF/hP7e9jNw6AqSPALn9Sa1XG9V5fWGJYmznBoW0hqdBGmZsVLjOmat
F7Mx7jsTqqO5PA/NQkiX4HO/NWYw80nZWjuCH8iMbcQornVDYMadw32ljoNk0MZXjNNeI7IGPc0u
7yknSA76MJj7Xwn6FPQcE8yAx7HWkyDqLDQXelmyp3zBhOpWEqShY9WHPJwIGSRwOFQy2YGSyk+1
6FMUFUTcJa+07PIrdj+k8AGjNAEjbf8bdp/hR7FPmGkneT/UZWO86RJUKjeUv1D3yV8z8uRZYfav
UzvqNaTbIqEzlrVLHdT1gkmpVqzoK84Pvd7ofHEiyj/aWH3ijmMcDGJ5HOqGFLt0cSuaNkqFG5LK
SCk2y6jW9lZNzeFo5XH1fQT0TiNBjN3Jy93ResSdoh9bPXb8POK7gEkwFk+S6Pp5nI1F9ejxGL7o
gzoUcM4NcaoESTiT5dMzmoDz3bKW6paqg+LBNq35EGpmc0fpNR74KhqjNRNsoVkM05seJdzN4llP
iSoztmLuqxLxwvJE/466OoKXQ55icyl9a55kHeTO4G4NMndfXXcsuk0uxvpu6pzs2a5wKuWLKInw
t+KuyspVWw8NwF2jzR6R88G+ga0ULUcaOgx88MmCh2ZGJ3hTKRfzWge27h1boR5pGHfCJFP7nCdD
DjlXb+TXCFbZh6PYCYJopmoxgeOO/Pao5Fs+3mk7RaTh9gsE+Ii1VIRJsmAl9JmXwihpLo6jt2XW
Gm6WwiaAosDturFkl0Z+SlfLt4V2A4Wrb2TdGVP1xIrNAoXZJNGp1mfzEkbz2CLS9Pp9kwJwQYZh
fxuM2PG+RFYyL5zhjvbcIxYlPsfm+JxTv+Fsc4o1FsLVbRqsGftmB0idOguwqe2BN/TQ+g1wM6Lz
U+UE8OyH1hOhkj0NS4j9jIxlS7tNpH4pkGH+PxwY/ztx578fn9gm/v7MfeKy+v4fXJc//fBvZ6+2
spdYkrE75k4q7J8OX42iSZbCWPO5rpKX+eP05VwmnIKXhzPbNPFDcia2Fa1g//f/WBzlKyHSUoUl
6NM2/1ESxlhtIj/7NJBB4Va6XKTXx9YSlFv+5fRtoarXgM9weQ06MFOd6pBryxRxN/MRH1obgC6A
M/trzdQohu5zqtuGYqVO2/EKLx4kAtYRj4bYJJXFg1U6GBNKZf13Fov1TTd2VpTeGsSFj7Nh5XtJ
0HicEOZyq/7em45zn6J/UrjxdZa5b43xTmj1ybaRLrPApsPhrKRQsMtahfQD9PsBSNoQAF7k7a67
WN9kIXZFRDfbwjN9ijujf0hyh/6ptLcqv4ik+t7xhCe21HdM1cLvRq2/ZKWuIfnGJdnlYd0KeFok
hkeiw9mlb/rwsSqU4mZZW67sVgr+A0vKyJP3PFNU7gY17MTEoeuN9YLmqbi/vvac+eusq1W2b6wF
WI5b4Y1z++5ktmPzaLodfm+cuPsYsx5HmtMxdBOF3ptGlj/l/VJuGZUCUThBnKr5HqVVkz5ZBN6v
U4cFy1AbeTFYx3EwzvVJi/Tq7NZafDc40fSy1CDd3NxQj+h7DPml3WBCULv6XlnLcnFwJo/17IYb
vG7TK4RYM9AwDL7pjQX/Apo8LUGatZhBT61dGugtDgUPsFP1MVk5hj7eja8Z0KoXoIotzoWKBeZG
WHCNyEuk03NumCFaR0/Xld8rNookO0nsmGOnNBvL6uvz2Obppk5xHeQmF/2G82XXaan2YCq5vYM4
nj9L0vROUNL0REoPNdykXWq8RGaifRpxzK0iRPCP267+TiyUDhuAgujE2G5wz9xJjaMNmQI7ZWDl
8FcQVC36Lsomyout4IgilxFSPkk3JL+bdJu4D6Se2ObTwNLy0KvToOw0tppyQ5qBTGUji36H6iSj
jRMbw3LOIA5jcTWijBe8sBS491np3ESzyrc+ZYT6HLijvUOM+VTHcYaL7xKmfaTWJLkfmMCzU9mW
5XfCYdrLpJOQ2qwTq3u0dTN+dNWEFrRF9tqN1JEaOG00XLe9UN4cYULm57IdhVxPccdUCFCEGm0t
LTYdFUTUXKsjuPamxOkKxaVpPwZr1u57Yy6+t3WnnexEKe56Dr9XxGHME6R47e+R6IpLL6NH1qb9
7ZDY9ovNPTnntJpguQq2C7eGOzhFkIl4ftbGtvnMh0HUW1tgVExsBHAGmrZKbu0hlR8NpR31saHh
5z6Na40Em7bE9skaM1ylvg00BhNuRhib0rkp5kMZFtu5FblbU6hlp6TamW7S6a5NY1xTObvRIATQ
/dqTT33S3GHstpk7m5WX5mztSNngBPNwNdoNPs2pVo502wiuj9KAn2LDFtvqFNpWt5Ez9/tU1tQL
tSWVAVWpNMZnIdmzPLGOAfEWAiKNgopepSj3HFHn5T6nC28Deoj2rqFQ0JFJ5BX9FpAB/bFEJpLw
UFIhwGKjLlu6kCYdHcJoXCJOSSifgBwuZVCrpnzpKEx/mLQy5zJTrAg4SzHi7ya6XutLtCZabrPS
DRm/BwizVqNmO6c1hu3SUqsKlet7lUbpiTpK9asRO/csctc5hvUmXIOvXT6cjUW5RAJROhI4MQH8
X3Ti+d6sWSnpmDZ1g2VQ3Z07IywBO2mUG2ETih0MmvtGOmOCwW1Mnts8HyeeESN8dOWwBK6SLTtz
LvMHe2jRuUl9SU+vrEp5TdbuRT1X2mNk9KBZ+twuDzJtZbnLSfRvVjlul6baFEz1Ii9QgLsT5GGi
vT91MtIAxdrHk4yX56wqhY9JDcZoNi6WXw8pPps+Lw7Lyt70Cx77/HJtaIykAcLdwt/+mfNsO57a
ZOa31hk/7aq3ALIyWvFJdCz/cDDs005052tp4zTO5p3qVPOXKZTqiYhij3uJW8Jf2hv5lAvOg3DE
YsARniOC6tMev3mDxjPWdBCFLJv8YWzYr89dnkcBqDr7IRIy9euoIvDuENIm4tTFwC8SBtLA5oj5
YuAFeW+6vtlZdl9F/0XbAaSHv5+2rsUy7b9nXH6ftvjh35cDJoMWEUiABdhPbWw/vy0HSBCvUw6i
BZlfiCfun1oH/d6EnkgrG5bKZsFeDUa/TVviFwMrLV5awpM4kEhc/pPlgKavIMu/LAeImtvkyU3B
koK45b8sByYDNZ0oIhTIUn0Egdw9F2XiXIw0TTBpZiq5fJ0WvgOFgZTWlkARCFUMivoSoRiAbEhm
5vz/XF+bJQsFmJM9t/7PHbY9PdqdR3lA/Z1Ig25t9cHBg6P25vRKiG567IQpwjUVqMaoLVVxFzXl
tBk0ENOBCjDLJFyf1aAJzVrV6ZqcxsvU6HNyZKO4UG9rREvrTeYo4FsQbfT7wWYRP2P5oZIrM2kR
rMG8zCwW0uRrmFrGm9JLsGV4+gcHO55NfUGs6wXv7xhOjQ8b0KJ0O1rFcsoW6L6c5Jgzsyl67XFd
VaODmead3wAjVCgYidi1kTefgdMOxXCGDcXJbk2xDfSgcsM3nckUkqU+gqbGsSOlF4aG8tBbfY82
RN+Zp4lQ029cyhshMFtZiWnKtrq7ZAzByKzVmaw3qVm5dJ0oyx0vJEoeJq3LzuO1+kEnH5OzC8yo
hIiBJbKIzoyYMcSYcz5pU48FsWin2Ne5ZgH8J113ng11+V6XdGdvUGwbi91nvVhf52Rc6w2Hprsx
4qF/lqneqpuK+ziTGd2C5kOV045T6iQvNkYzsWDKhqL+kWQovFRBEMmk12I9PFRSBRebjjwTLxNA
jSbEycgbr/6Mu3AAwi6Mb2a/JPM2xiaDFBsZowKxxZ1eSkznPQ7JtUj5v0eB5Z3w9++nu/yt+/HW
//0Lip/+7Tqo/mIx4WsAb7nDifWF8tsLyvnFNFlTuaRe1xeXaaG4/i7Gqr8g9fFD9HDzcLL3/OMF
5QBGQLylp2ptdbGAM/6D5SXc8L++n9B0uW3ijNF51/Ee/LflJYebvcaWbfKmNPqu5l/GjCgGaYjs
xgBnuo1NjEwzVzQBhfT3CaXZ9bG0ZvnhglhKbq0uhqVd4hRk/CrFZmpUs96C22k+6ZKbn+2ldYuA
Vfl826tsiTznOm7KpXJe+usMyjAar1NpuM6n4XVUHdapVUmb8q5bJ9lCxOX3tA21+3qdc+V15C0t
FcVLpTxYvxn7oodXI/R+k2oiDTfqACT+QFROKeh7wg62JwzY0TVv42Xzlplp8qCbkKTwNUbSPNaQ
Xl4nB8UnAAs7LDeiHkA5yU4YbD1U/SFu7fxNTJ14FhAavjoadnEvGWmm8czZGSUbOdEoG17K/XPH
Nu9YhVzX+Hsh2eZUsXlTVpDi6I8BlkU9Db5pYHBUKCc3YWzTSa7PJeWFs0Jn3iGe3aNZmLKhiS/C
dBNmohOeKS3RnzQ1W7ogAnLVY3eK3eSpwED4QllNs8H4IZ/pRmxpvhGj8gNHk7tvV5SrH4VK3QRN
CKSJisXqk2JXcFmS2xxGktpx9qaZp9QC5238HKEcm1yoym5nFE1NMdcVxNU4Sk3fS1G494hg8SMh
Ifs5XOlddhNjdilTjqz8iveaFzMDyMgMBHdThwAmlrH1e92objUHPphiSFBh9RUbNl4RYqQjwYkZ
K1lsZLV1bK+4MWj3uLzjlUKmhk6r3IypbjN6Cv1chjCoSDmxXGMEmEYkx9bgi+Zm8l12WrFnazWE
51kyeZ972wovS0hrjx8WiHEe2YVSQMIRyjkjm2h7o8XylNR7M66+8Fy7WZJh3OQqtpSM9qxbPgYD
Vii3khJFvtMAVZP7Z5J1IzR6G//Jt2x28o0YDHo3CpJWP8ZcqhxEtBrZukXmYpGif4v6NLxtpIj2
5RJGGxLfs+rbedF/y9twIHvlFIq20XPoRqHh2O1BUSRHT4NJlocxRODg28kN6r/mTb0qWH//pj5V
0d+Dctcf/X2OXMF79LCwlAIUwzv299e0+YuhawD7cJOYvCVJxfzxmnaYI9fXsGkyYKqoc7zb/1Tt
aEBbVTu8IbbGP/ZP3tPkp/71PX0FpvOfYNCguFa88Pd/2pk14TKGETaR2el688vYj/ourbGAFhEL
oU1lp+GAc3leLjkqwuhhc5hPujLFgZoCcMgHezowRMMfxZSLdm+kI7eUNDoUEmA2yIPqvRGhuUML
UxDwV+S2Qj6j95pMreqtqhi4PawylXfmbFXgK+F2a7XSFkGi4OWgKBQ/p4lDl2slF066/azWsRHY
jOa9KpJyW3AMPsmlwComwI63oz2aR5eC6oNs9OGlTWXcgGgbnZODTxI4TlFpcyBSNMxNm2jaQ+JI
sDfATmIW5MmYm7jbY/GlQx4qAkC62Y3SLkP0WLmoejd2mVA0H8eZGQYKL/xpG0VORK+MpedHNXNN
wtuxQKxx9DpK31Qxq5Ufxpqi4Eee8kbblc1cAmtLOqPcRsbaA1aoybuCnYiJbtFXgZSKcAXLzFJ8
rN7TW0x6qsWmL6b1OKqMrMEmKilpplVyuDHqRTi3ljnpR5Zu1q6I1eHOoO6QWuAMFm4IjB1T7zzc
ZUaVnFJyP0/CXSD/0Fiyqwrb3I+A3w8OPrQPNnLpXgzKcK8tBusBbuDqpUuHeJM56j5Gk9pluTIo
JOLiUO4JzKmXfKhszVfCbH6AxuWkfotdFyi3ZlWXnNu98TVzlBDm0BzJrZ3oob1lhKwhbXX8RmSV
BxgbdkyeiR7KSewmvTHoAR6wt5+wCiiYaLLuGyFTwvHhmpOf18T8dA3PO9cg/XQN1VPfQ8BeWbP2
zTV2r9rzfAoRRwjjW1m0BvNja/ayHJHjEF3D+zpH9/dxTfTnVgshvlxz/to18u8qa/w/mgv7k+cx
f6zdkjD+lJt8dctWKddppKRyoqitbU+CHfCh4eCvFsrgvMVqMX7jJoaL0CRTTOZQKCyOVfs+0Yzs
UkxTf8F1spwYA4adpllqfZH5nD10RkNuOuuM5LM1suGji8z6vl0qvEMwV2BAtdrywDeYip8R7ise
dmdvaUrs6bUhD/bqBfOpgq+2TdOAbBaNGvS5iWFdGMYt4xVRDb6FG3UscjLzKrX2jGc/piLXvZU3
yJ+SolerlfE6NIbSotS2uJ90iR3OU9UleS4XfXwvK94CAULGAAZQcS3pmyNGfdohm8nP2q49SrUj
voGqZR3DtO5P9L/V7n2Xc59DQNH5fBezvOECu1HGfkL9t8HbFiC7dsKYohvcYRm1co46p96oTcpr
mqVFdtsPUzLe5E3m3oWCZ8oruEh9dXI7dnehS2svWBEQ9QRVpJ/nWto9Ihq5jxG7MC9T++brorbW
wlEbTt3ZEUu4rUaAiDbW9tN/zamn/4+w2tu2L//+csKP/nrqmb+oRKVQO1bm7Ipg++NyIvg7LIj+
DGexxfrtcgIIxOXiwl+6AdoNmsVPpx7sFrQVKjQQZVZ6/D859Wj5/euph0jD5eh6PVGhw8PA/eup
l85THhqt9FswRPcdFvJNLVKKrOw+3HfZEm6ivC32bW/bXmwUC3yaSD9jMEgRFFM4kJN+UyMUeHmI
ANv0ZntvTDaA1c4+8Dz4cD+2uCcUEpOY/PTCG0YtehtcqAxqHFVU+kz6oyjUV7iqLJFCDgHNaLCW
5zTpxBn0NmrEqb/StEDgiQqoo2SR08BgxOcFrBnJ4Kakbdsnk6xt4GuzuU3n5UHRKpMK766+hcEA
iVf5UTjF2gVSTjtwcPWXcEbSDVMQuD4wzchX7ejJwequL/FyCEsGSJli/1RTjo4IJt12WTR3U1bx
Jh0hMQwDLeLVorR7PdeSo1zIYU9Nb0BFqVPDy6Qz+MmQGs9J7EJ0qPOqizeY/+xLH9UY2G0Fjxfx
7H2jkCMRVl0U8BU67iGuW722QlOOFskxrw8nJ6gwf3wjd1PcsIQqN/gRepYohLmXvn5N26TZLYZx
HFw5rxu1gR1/q+6MamHSzavWDKKh7i99PcpzNkst8waMpBu2P5onE3P4pjZaciDdpB4xbusH3V5e
m5kjFlFHjie4UiWe0ljSyJU3T8koLnVc3IfjqGzKqMp2+GeoEjYG/hy5lp7wCf9g4HADcqSqxuJf
e+kLzgOr5lqhhgthkhC6vi21NohHUz1RgJGfLTEP+zqLI9pAl/6FgJ8ZUHSr7pzcerKTMdoMrfMU
2WOxj7L2gXKyHF+JIykZG+DzFUvEUnXU/PiKZJBKftO6EEV70lqvIqLwtwGgz1bglTpgbYetLrnU
1hh+of3XuM/XhjlDKFrQIiDtuaYMaGm12PMkOjtSc/Z26UW0WZxJctKROaHOhRYuJX3rJ6xFkovf
BxAx1gyzZVi+VvNlHAGnnpTRCr+mU3NGnJw+7aZtjllTa/4Mx/Wg9O58N0S1Cf5wav2c/zdoUrbb
bUI1Vx97UfCJOXK+iYCvnJaJ/Ito4Pey5VY8l2o0zmmcUp6tdih9deNs8hjCimM1ytEZOappCJqe
iPDLoBrp7Gvi3PxB2CZ/SNvxnov1dEdrg00ypxZeNUWPtmK/REIaN9E49w+4Ha2HjumchtRi8Nq1
H5DHnKpAyx7dCxbPMehkBdF+rRJM1lLBAQeMT3mq5mkm1bBzsnyrpmTZIVFyeczJ8ilRoYBo1MRd
NsPF6N1E+tLSjUASQCJlLL+mldPuVJ4NcvZ9dlhYmWxpIP3IHExNA/9q1w5f59D5zPIVuQNd2HPW
OsQ5sahwyOKcrHMc+woxuiebksJgPc997HhZwE6q3JN+HoMYVOqGHVAZtKs7JZs7sMzDkhymsjRu
wEK2QcJy0FsA1Xkzj3BAC+GHGO3vRMnVfT922aHUF5bpOQVEjqWdW2X5xFDERzKRmyDBgGuchXRZ
K58EYW9ctRk89uMRXWmjNqAP8EadMoV0C90KbHLNrQ1R7iM0nfBOy/4feWeyHDeSbulXuVZ7qDEP
bV29QIyMIIOkJFLDBkaRFGbH6Jievj+HpKxU2lXa1bbTapHJSgVFhQLu/3DOd5rhWHW62OrWeF4A
/zPnJG1Rs+I9ObIlFCSivHWTw0uULAzx8JlhJ4Z5A4GhO2bVbG5H0McBSysDWi9r95tRcZMYKd1V
RftBUm/SP1ODjLyoD4rzWM/zCdPxQ0Dlt9M4fLZlusSbf0w1YP0tMOySxq/tL8sB9dofTbAFfx5d
qCpl/T87Law31AlcwPQxDnNCSJR/lAO4tSkDYMQD81LI1j/lm/pEn4ISU/+z+DcHpedvDCtt/S/D
SmglsGURzkA04x/g8H8uB4a51i2Nkw59Cq0OCcU3UyQz/AKqFYp9mR2J/KM9av3xyoJ5dYwXmqe4
jaaL6APrfaZaq7gLhrtSc7tqR2JkQ6wfTRgZxsPdoBozFzjQyVFI1bDQ7Nmfb4LBzbOvM6HMOKWb
VCdboxXSNzdc/kpz2mNqPCHyr6/blYLcCYDIZIPBRvaNmseNXWzh7f3M4zL1U9e4iVaqcrsSlgvT
kdCw+UOHTg+CuSxltMdoEu1cBzdYUINqniwfCIje1fKOg2x+Zo40qaRkLbmtWq98MFbis531VB7t
SoLWVyg089A9+ktUDXqsqNFYRUlwXlnSI0LCJxNIyLBNV9i0DfyanJj+rh8Kr91qEj51SRLY3aCY
1cRdci+QvzkdY+Lc3pYr3hpNKahrH89nzU4FArafgQHCbAUcm0wpONl963EgmAaRN+R6gdLWMJTA
LVOAbf6S3WvFqCW9Ldaiq2EFcrOd8+9tQhchmZiDc9DmGoA30Zg9xqxxdu+XmbYOR7LCfTvY1SHW
ZlWFoTD2XweiA75QcyRPHbfXTTPalr6BGmc4hyl2wZ7BZYJKPejQNZl8jskGUREc8rjOu69NohDl
YCnst7gELFTvEMzJdVO7Xat3P7qV0bGuU7TzNkfNsmcqCJwcpGUmmMwpQjrKlORJ8MMesci1j5rC
qcfJBBcNeyhKd3dVvUv079aqhM++qeJXhXxWe7yvszZfuzm8O+LC8hn8aYTaECepWUM3jUb33hay
RDRlu6W7kZNeVseethB3dotlYeMGPQ4Rzeuw4med1n0egQ5PO2+sK4m+B2nANUW1ecDgkt8ANdCJ
Fg8CEmKkQbRQODZRZbzvDAC/oRllcicGr9/bcM2fWDKZNzqO6V0pMdCGkW5He3zhLilBHX+PzL3j
Q0TwyxWrMPPR5gJ+iGynvM1M/jrkKFv/MqKFfrfALLb4uEAJppwkIjessKkzqNKTju9Q5gQUZb3j
nhI5w2LXKp11XNZPSEC9gUX+Zu6beTwYvD8HZnYdGPTF6j+YqYvkWm8zwvqMZohP8cxnlMF5OfFN
K2+PO0s8t0FdPhd6szxDHhvnbRr40OqqCt8em7z+0iWOBQW94EGLvZzMCce8EBaTHGOS2G4Cp0z7
DbEFaR52BuFJYbF0Vrr1zIz22x0klNl4WcRXmMg8bg3UI/ilqbbEN0BWmvhOjDp1BEkMA0iV2jq5
gKdvzWEinKrzMoqNPmhcUjKLIdlzWjjv03oUzxNNdL3x2Uu2x5xXlGGMvnfcMgHBd2WMrfVxKOA8
hmPlWMsWyYlxQoQN+rWrInAJVc5Q8+gvfnffFJPdA0ztaIoqu595vkxSo24tH50YMmFlX+XsYbhm
lj0BpODgBdPCxbir8X4HuHgbyXwwkqXgFPRr/cZ3StcJ5RgTwgg2SD+xSCYtJ1h6uYSutMpnFC7u
sO2qMUZuxnTF1XexNUyQk+xc1xjHx4KV58wxWJnsdTYOFKB9baKhYsqYvjMLAh9CBMyvVT2naciU
pXtv9mVzb/pNyYjO90zA3ows4xMffjqfWR+AzJBW36Dvx4lSoEJBRcRwwzkabFk++FPkfQ4IRgj2
bU68OzsLfqeNIcHdOJBjNqXuxMd55foxmcuu4pX2h4d0vBpWBqDCUW17BQb006z9wtvXnhOFDSwt
mV4AQFDp8k5n+8Vo812GjH+fG/pw7Q+jfoU3xvoEKSIDbjdO96CU4BT6doG/3jX7d5XCGBK3h5hN
CMiEcwLmcEA4/VYq9CH4gkYPvVZ3rmH2Y37SKXW/OFOxnDuFTkTM6VyXOThFbEnux0IhFkcFW9RZ
nZF/xrJDXJsrlBEjE4BGekBgjcYKbuT84bBiXz88a6NCO3Yr5tFVxMeY9xmd1VJTdkuAkLAgg4+V
RcfBOz4C+8sxahUHYyAqVvq+LZEqIRTFqoXKvlixkxBLQFC6K45SOoiemBNDqZSkhk0qjwvAwoqx
7AyIllBngVtibgF0OazQy2AFYAaKhamvWEx3JWTi4/iEBgBsZqoImr5NhPZRK4vqQ5YNLNxGRdtk
STl9XVYEZ6xonOYK5hzrCEhnlsTpvOFfGXe66+jTjmejPOfrXLRRI1J6Nqal3jo5jdQQNV/nqWgO
KULWKWu2TlwRlctDxhT2n1Oastb+9Xrm8tQhrB5/LaxWcNpv1SkaaWTT1KAwENiBrPLpbz5glWkL
2Z/5kGd8l0j/GFYFbG84+gJW24irVyfU9w2N9waxkMKgWygp2fAQPvAbxamhpl5/VvqoTboSfFuW
CUAXvfZfdNUpFYrmFvaOqqDb0AFaX6SRiYfRSdu7WnbBNVQvHge0SgTvDBpKNmLZugntHRecSQRB
xvRHw0R7lef4QugmcRyK0DbcCPvn2M/mVRO3iOlQtnr6CdhF/FG2rrjyavIzj35Xugggx1jUV0PQ
e8FZrBrJYtVLCs9DO2lZUYaTp9E4T5S6UsaL/3kZAkLqcrtGfbkKMctVlMkxA8RMeWCJ48aM4oMf
8LzsQmoiO0lLrSf7KmckNjmepK1XC0yqwUnfLKR97lq14EzUqlOwD35CeMD+k7TFaDeppSikovjV
WTelhVqaDvimPgX1ZH1q28jbysTvL3x7p4ASpBausNRYvupJn96WaiNLQM64663BuBiO7C6j6eDJ
9SvzwMACEhrChTMQ3IhUH06Vmyqgmt1GKTSEsNRqfoWEGraJkVrunKQYL3ZfkyU5LwZDES9B8csS
yEguhbW0X9BXsVVOxDiPzG9YNlfr3tlWK+hJLaPdyaB0MoOEdPccmAIpWjlbqFATs/851qv2Pbue
pgQo4JM+4q9JJK2jUkm6JpBfoUrF3QbvVpyTdt6N8XZa80zgJxfyWM+yyfZsJywKujUExeD9r7Yo
p9xgi04di4iciEyxFwtce9dLuBnRgKmLoZI26/duK8307LXaSLKggL+KxNkYnC814Pr0QYNDNTYh
qRTMTO0IoX1oeba8RAxCfchKZUbY17rRctbtlqEWXaj8yxf03LOGk1VtwlovYyuWqAWZvXg6EgFu
8n25btByT7bGQeIA58Oc+xBeN8xr0+wpyVFQbJd1FzeZWUuoDmyigX15HNzzic78y2BKbbzz+iD1
zlHfDMY7bfCCbl8bQfbxn3PAchL9+oA9v3758jcLcF777XR1AX/ToStbJhkOLJp+7L+tNzYrApbD
JKdw6NL+/6f1t0AzgEdTC3CV/+CyWPh+ugJZMBBl4mixHHImdOjjv3G6roKnP5+utP4gG/ixHI+T
37R9boWf9t+15zgxMqOIXCLQYolLRZw2mngeutF573DyRvi3KPulqqD1lvYLnYQqrF1Wabe1Nlmn
QtXd5VqCu2s5bkyccTcggUEMx54q2RNVvXtrIe+vRf1kVnYKbsZo75fBt14RwsenSdfoAxLVEpDT
kB6JfrSYftMw6PkoGVvSRGAX6C+6MQUMV6fHPCVJFPGfvrHzgBFqbTvLc6OakT4h7TNi0LmXXc/4
zep5oEzVwBhrL2OtfY2nWhymh8oNypZhDJHtiOsGjTrmvqWZbv21NZIz1wceHJPGJhp2McuPNEzX
PgrJCj0VNOziCuEnnZZiS5ThpMvlEq1tWMKs0Q2tRqM9o+lq30lS2v2Lhmr/iZTIEkcPPR1TdPMx
UH1etrZ8i+r+hBO719y+EemuTMFDKmHY0qpjtJFEPtmF3e9hy8gd2eeqh17bTFNwjoQJnLZk4+S9
0R5cFiY3qepPjbVVTWUzX5sBgwUiv9LjsPay/Dzd52jtcHFUqdM+z5MHc21/EZ0BZ9ATB3+mwaz0
MOsGyirbLgQD+cknFaytcSj2rQkACwIFJK25HKv+Wpb1cp2qFhw6Q/JxXv3rnagXtFdtMz+Bb8i2
1PFEdlezARlvWj3w7uqH95U1XoM3tWuUXT5dnfP6Nxf96qifVnf9pIz2cvXcm6v/fli9+OSWp5fA
r6tP4+rVD1bfPowPlyW9svMDuDEeIObg8beV3d9Txn/pKb9DoHAA0MkgA/TOVJ+lwgXYKznAUxCB
rGXZH6YKLTCz7ftqKdyAib3wtl0ZBINhEmeXr2wCQ2EK5pS/G3LZgBcA7LOOdj3THgkLvI1dmZ/j
Abpug+bq06SIuzGZEVeeovDaiseLSoT2TTF6aYrA9c6ZaX8NFMO366D5gmnR39MvALClz2b8G08w
ljheLmik5i9e65TXWT1Hz03ji6daMYMrRQ92a9wOiic8RdPg7CYF4qSF1W7BVEHnXFZSJ7ua7q3a
/g/ck4rlmbdd9tGuXPsgV9ZnMYD9XKrBvZpd22iuMIlE5naxWkWrrdmwk/oKNxRiI8EXMzDbfVy0
nQ8KQ3FGmw7kaBwBH3XhrJo7vA8LJhbgpIjyjJNR2/a7IHVgl0aKjWfgOgBUQh+6nVfOqQd0HJtz
kXHVryTU1mWJiGwu5/2jpc5WZmq68lMj5kHpVierBa4qvlsS3BgB3E4KvFoVisEarTzWiTn/Y6Eg
rfECrrU0vOKjzgoSdbbCueKrSg7zPHuH2kn9K5jI4kaFjxyBRcKCZRcEF9ZaGbH6yosdUQBRcFrw
ksZGd0Ozs+abcvGgzFomwFm/Kt230UqhhZOSuTjxFZ3WGxf9g7sya9ska96Ti2KGzayYtiMWYx6V
PGadqfTlbES8XMafa5a1y82UOWW/8Uctro4y9uRW2k25bE2U0elz1hpdui2n2LJf5NTL4hTnw5zf
eRq95aaVLoel6FRFHZFlhbN7nhbvWDRa4+4bfcn51BJ/Ym3wN+rD2UngeW46TFDpIcY9jeE+TZ3p
wR8yAT7WcYDGhAmm+c+TGfXOvYB/cyKGuDlNkcZ55LlLhkZdT2yx7wzxIQILzdBiHWBUOfTkHcoO
Kp+8bTOmHIFmOM86E7QvTKlnkn1q69IMOJUpPNV0BKWDcerXmYm3zk8aYbRodNa5iowDPhBFF/vB
JlWjl2ydwuTrRKZOkaOBuGJQkzaOS0UK3SXE4GZkt0bH1o2/UV/LN/4wdS/uEJj9uSum7r5iheof
23UeJKjayE9UY6JhnRjJdXqkq0FSXTuCcB4utHGbrbOmwYqr8J9TbLFz+Jti6wnpivibZpZX/2hm
KYkwmNjorjndsKn8qLfcNz41Fm2uARlDrVPYgvyQhVtvLBvyuuLf2qA6/uRbYQtjwJ/iGwb0yIR+
/Vaol6m67J/rLVf1y2TE8JNQbf21m6097PHumB66AAsU+3yyU93Fg2Cq4Gz1Gq06qJTVoZxMM8zX
8FVnYU2BeoJI1rwnnZXAZS3YVl5i5Ft7DXAlg8n96soRol1Jvmu0Rr0Wa+xrW8dTdNDHObqrkSPf
JplNRGyijfljGkz+cWTpcUt0V3Vq7NQOwRimtxRVcg/OpPrgtHClWStEnFVuwZ8sXDq7uo2ioH4y
ReydM3gTtMb46mXdWQ9Uuv5buEzj+9jW4q2f5QSMTy0plfhBXlP2TBtTEjDpZsJ7jC0hHhM3buWh
7zUTQV9vf84FnrUQnbFx7yNbZ4efVuOHIm6I5W7bwN91vanZjOgzwh564k9vSLqC8A5q6jx1U/XJ
RPcGxi6xTwVIiFugesYHrKvFvtcAz9G9zsdoTLyvsp+0L1kT5S8Zyq/PTLgJ/USDEXxB+2jds7SA
FUyh8mFE8G6FcgiMKqxit77t/SI/WoRy3Uzd0jxFXsPuyuhBX5wC5ll7DFVtss2ipXtcpMZydU6S
T3WMRCWMqqggl2upl7syY6nf+0gXN6lpNte5uVyX3SIS6EqM2CxqlvxAexm8G4RYeFHctBhRUkx5
Xt92Jt04U7hdBWvsUkLGuKl8rduyj+oAlCC9BmOPQJMSWy8t7sbCfMomT8BeL4NXA6Dfdszj9EaY
DpSmYPay7eIHyddFCu2tn0s2P8gR/DFkPk2+I9lhsB8nwpEfictLqq1hd/FZYCd89haiKZyiq3rS
AwrOvW0rR6TXYtTG45QwawznER/kVmijl7CXn5d0a7Vxfbu4qAwXumHdPiSAceddQ/BOtF2mXo+u
EN0SfxOim7CYhFp6ET15MwzLRxczDgqTAhzGzl36aYAlZs7g3xbi0z6nLvq23WIM9VdPIcTMfoB3
obBi80oYm/ya3KPCWM7uXGVyC2gFq+HkIs3cOiuljJnrCJoVdFmrIGbeyjOLvrHNVs4Zcx2YZ0tu
xzemAqHFEun+mdK9ZzHJ4sxSyDRrpadpaPQtPOxA1aoevJpmK9CaSORmEkrHX4Bhw8JUv5DuEDzL
ldJWKWCb7S3Jk69Th5Gv6wd3cS2zm5yA7H1mKt6bRuN/jdZ/6XYq/86KPKy10QqJc2MQNNPKjptY
TdUHH5soqdDQ5eqVM5cq5Bz6zf5TjNKQ2VZdWua2VHg6Mlx1crGxHyRrIHMBJwScs8ppNkSpH2yV
3Vw7chDHYI10blW6MxN/pCBr5DMzkuouUTnQ/5yrjSvo11fbKY3/dkzLi7/dbHT+ICR0tLuBwTPG
ffTjZkMOgJ4P65JtGjhxHI/X/OdmQ+vnYIZCSmAwS+U//WeSgPYdfSLXEdlj4DR+Z5CgZJJ/udg4
JZHsQGKG/oeO5edBQlYpcdyYXTWk3ezR6sJP9Wq4CIj+NplPSOLGjStsHZHvD1uiCy3orESHvSyQ
l6ptlA3BV7RO5LF3o3sxSHTYVJTuV2Ssiy0zjOhKtb0PWT8GF6l3csSkHuhhvhjL1ijjC1hZeNpj
G43d2fdKcRfHel8cWuAJM/hu7uLdTAH3WLj67KMcG1nLYY3GmjVOuBAHM9c/42Z8aI0grrhouuap
Kev0I5V4T5hZEmHcsvruLANvubLcobp4zBLETuikBIXAraY7FqHDW5mPPpvXLhske680u3IMzzY3
miC9GWJUO9e7hU7oQU6qSfet2n9hTqwd6QHqt2lkcdCDwYiB+XrVY240rf5oDNbU7ad+8u13cyaq
Jyam4jxAMjf3nADTxpwqHVEmdGhMYqOMVZ7gpBGihPNohm/HsR1KrdO/RN786ImFZHfc04+tRxUc
pl6ToukurGhEeW/hhGDsn25q2yiJ/W6H6hT1PlHps+v7Ddb3GnUWzvfUuakHy75zACjvfMUcCrK6
eMACVN9FK5LIVnQiRrPB3p30pt6WPoJTX3GMHBZrJ5pJ89lVlCMuKO6IYiqBc1grCCkGRP5Eeece
pxWUlChmEjr49o5dAX27E0BUUmwlsVKWaIYeakVeonuyVQMvyQxOHfkYE20B/FzxmuAM2O9poYE4
tYrn5HJjnkrFeGLWW8FGjwrQT24+i2eO8OGkOT277S7hudtNsgYZRWIe+KhMkaTsFSrVK76Uq0hT
dtYEDxDWjXc1ZOMWFcXcUBe1hYzMt3HS9vO1ru7LEYlate0HkT+abtsSJOD1uGuhmvHD6wRtwzRU
9y+xXMnXar2U2w7dIY0eFAJ1Z9vq9s7VPd6rG12ul3u+XvSmuvOT9fofYFM816owIHFMIk1Z6wVR
TA6ppaqMwG6L0rNb2mmn14WyUTVufshV3cFnVpUgFCNSes01nC8KlKiYxJYdyXLHfE9d2WsxwyQh
/jSrCidVtQ7nEGWPryqgOe7yY2zI4VwSH8aHMkK5QtatDDZgKwoRdnWUXQNHmz/OY+Q/NKicHvic
2vgfMr+OQpTtyBxwLHjbjNwASiTgKPdSxM4+sxHBW6XvvOBICw5O3E0PNJv5B3c0sofELDJitdK+
ewq8bOrDNHPlLZR459h7dnmvGYO793hSbiFAmZcSr8uprTQ/HPI4OvraXN7RmPm3U1Vkt2MsxVWe
4RYMxq7+Sgurb/MisjfMRaNPXmYPH2QX2/vWgD8bDvUY3cvcQf6QD64+nTGZf2ZdPx4SC7NQSIlB
VYQQf4DQnhnXE1JhZFJIXT/UDBGfRUZyjmSuxwnRTNdmMo4yLGWZP2hJk8GaiIVJiDwOwpdpss0d
ETvoJUrbEccWhrqxdxLdvS/iTOOU5b3HiRKMmMYj377PiQ1lVDj69Sv0DfdrABD9acnnYqvDprnH
2Gle6OQRfGrurHRJhivvDNI4sHqDZTstkvJPRxZ5qNAqXfIYrnSYIjQAv5DWxDmwxrjxu1k5DRHf
HniwWaYIuaCpHeF77xKJkQ8nd4yMKWqCs+MWDjoGAmAO/dCZh45VDO/bghb4DoAqRusi1Ye3Y5rC
npuZoN8lQEGAbdd+/NgLyijwSL04GzwW/ILKi+HKEK1XbdvU5jmiJbFa5kByvBiza6ahgTDonRZZ
I1E3S3tX0O3cT/NqOrSkZu2CGL3RtmIV9NL3DgzsLOmN6x4PC8PcwJtc7CW8JJl7/QURe5D/g3r3
v7VMXJW/TmGz/nBMeG+IS6Upx9dneaYF+/FHdePi8w509smsS4BSmwav+V7dOOyn/QBbBCsM1mfO
n2DUzhuc4Q6EL+W+ttX2+HfKG8NR5QtavrgSVy///heKi4C9uMeP5jgBSg79LxJJFGFuSnbBBtal
uRFtnexsJyA5IBl8zEeBdcEeV9/YY9odK30wANAP7XSydTP5aOGOgo/HTcRK0nwXI9zez2D4AdOe
zQ77YVgFenEVBWmzVXKUzYCVb98naX5iYSLv+OOJQ27IJ2Zq4qM+DvaJdIlhzyLF27VaGx0z02oA
xrqfKrgIIe639oiZqP6gATbetoNmnF1PmA/VkLSkbFqPhrQoz5KywS2tQ8yPJJEIUx5McByLje6n
MT9l639q7cQ5S6sPbhYytEOrjuqwteZbu0Txn7RJfBKEgV+jvCbZRZB3TRpNYx77pNbOrg/bjIlZ
twNgRkJBay1H4dfeVR25EJRGFH4+eTGfXGNOvsTSQSbolcRmzAkKTC2p9oZR+e8GNCUXu6uSg+er
kCCHzS7MalvvzrWwWEHMHXQjhIEQnZr6IU4jRpDVWLFpcQnXIDKEHchkYE0hP5L8tYD8Viu71xPM
2ZYctbu26PNTpIvggQG9tl9EVL86GcNQqkpnOpvBgZLtM6POrjs6JpPSS4Y0Z19AbL4Nmtb77LjS
PNUjxWeKuuCCq5A08tHot0xwolCytL9mmp0/lItvXRMTND3b2PY+uE0zHIJefIJ6VBDaCiAupJSo
JddENsHGyQTEMbt8jhEWI2sYs13nzMuJlND+vjBj+azPntjbNQuFJXf6feRBNWRVHjbleJl9c9qP
jl9DOMw+EA4mD3oQza896q85xNuOtTG94PAH/e8vm2pk/LDEe8B1qNJKrdu1zpCchBdjxk76jDUS
965JsoRv5uM/xytm46v6dWeHe/TL6y/V4eq13xs7g8kkk0VioDnifF3Jr7/pb2j5GGbStpkeqP5v
c8kfjR3qcIN9LcdS4PgmY8kffV3wBqEw/6+Pw4tejGjf3zn5TBVB9tPJ5/MjBS5iP+VOY5f9F/1N
Rgmfc4Ycvczy4CA0XOv4QM+mMQHGH4qyCqeS9caYa/q2s+SLMeUgf01PXCKjtK682bL3gzeAAjOj
uT0Q6uN8qBOrv4ihL68smy+9zhs44Yg1Ai5BLyAg1pJn1efn3uTXtHDKmtAzh/pxIUC7Cw2j4yww
tJ6HUR/3SCVGMGtFph9qzrhNByz2sAS8sqsdIjfsIGFpTZ2064daD2dodV/I+ZAFQyQyqfKxugMp
+wXn2YlML5JIeJCM4ZioFIpZ5VEUyOi2gOD60GADwWJ4IPJG5VaApvLCnGd148zaU6eV/l7oUu6a
sVJrUexLlSYYbDK2bRVjcZdkYgxtxjBbRwSnwYakyhm/AeIA0FBFZhTO+D6yl3czOzsjwvcq4mxE
Cq7NpE0HKXZWHurFHpszqPxHzAU6v3Uy0aml5CgPUEBKmfQbpydezI+b4CCtcT6W1pAdNZOwqZJ+
e0/olROSB57CF5+1Pat4yH52djePtkYWQXbKtPyWfOAdD//JxxG0TUcuFoOSFH5bNVAdRVP+WAV1
/ZTq9Ls6zgfMSTUHoJ5ULEGIQfDfOwHBNWB+WUDNJURqoeCp1VRbh8VsxU6zKlCukWW+FlHXnUEe
5hDX+wCnsJyfTX0KdtG0NMcUJDdGH1lzA8Fwvps78QwQMEKD1FsbPZtYiXdwXDtfBru0mwzoHUNw
FaOoPXTx4rDCbRcky/MKV1cIWISMxTuQlrgUUtNKzpqtFbjkU6Hfxxn+pEpYjkIIvtXaVry3oDud
hMLKTlamOVtzduOjPY/m44wo6SLQ/GIyW2m07BDNey1WjNqC7PgbguziM5OZd1MBDqovyhOo5eLa
s+F5jD0T/zRu0e4uLiylYegPRcYwAT6GM4fSZCqwZIvfc7MJ6xPudmmGDDPzhyUYjb1fmiO9rTCT
vYl+7aovov7Y8uZvGngX74rFlxddjvZbZYQ61O5cHwW3Dw5tN7FfppZJ4MZgB3vsRymPgQ0c3PRk
97Yib/XkzqQNiUDP7guR8MCVcTNihM8iRW0MLhEM4qu0mOeDTHMdv2G07AutnzZO07Y7ChRcGbky
G5XmC3SHujtMtYEuGUsUaD9JPzUvZGqcA0c1RwN/tHCKVHa2K+SLCKyXocuRlDFkCK7HLO32lp1B
V8EtUN3hlPGgI1RCvE9F1jOmniJqJoKzwQBgnnsa8WJe5ZYG6irGFO+EacBeeSpiyIxsaZk0uI3D
bt9qrqKuIjMcVfhuSARs0QWvaSG1+LaPJu/QWsI8tV1ib+GQaVMos1m81wmHvTKRybShPc3JrrOj
goBCqxxQEBP/pjSv93OrJY9COt2pMhgLE6yTtA90htMX6FVoYVmq1Nve1Q16qsZh1G5hiQh1uMic
fdFUNds6Qe91yNIAb2ELxLKTdX0tRJ2egW0k7yxk2m+bwmCRxGiEpQkBCzTthXPB2Wt8sEkEDgvh
TG8bH1022V6Wn27/MQNZ+29NXfvXl9f2qfivzRMQCv75/rVt075qZ+5rcn77WTUE33l56jt9u8RR
vZL1rEIyWSzSwLh/6LzcN+RKO0QGWKhkTZaJ/+lfgjeE6OALs7mwaXA8n2/3fTrrv0GSpfoXG08S
k9vfusRtdUf/3L2ozaZh83sFusMP//NwlrwIOw4ysWsFZgoE4ZMLKbSxUCX6nTFke0h1eXFAzuv1
J6+ytBffypZoM+m5sxznOXK+eMwY4QqJnpi+JEnnB0aVUbChkZLXMnDq/oj8FVkkfX23dyYMiUk4
yX7AVFboN62nI7C1piJ5RAs1n2WRIpfSeJyNarJfxbgkFlyCzDNRpMb2Q9a06EFBFrcI/c2vuj9f
y8R0E3xe6HwIzRMzTMgRgWjewgnGQRatZrJBiw1xtqMuYNY4j83CK37/Y///Na1bCRR/XdPu8rT/
tepRvfbb4wAJksOczQJ5suwqVhr2t5pWZUtZvhO4jmXTVvMB/6OdZ49hUNP+wT9A2/jjcSCrCnqV
iqcF9BY4yMF/p6g1FHXoLw+E0l6S18HTAPnH/ks7340YaGymkaJLgKTkdbWhOGD9bYCl2UWmaYtQ
R9f1oJtKWzh7rtzjMeuuklgfP6Z9aV0sURj3zLXNL348vI6ZRtJ3ZM56WPRR/RVSvr+vkD3jNF6S
rUsDiDOyLULEZjcBnSauJuN1NvX7AcvoNbGy8gk3sEHB2MwfvaXQ/W0f+J9zUAD40RQGJRmwpufJ
QtrSmFnXqCL1ne7OJH/ORpLAFRiHg5/UDGulHn0UKLQofPBOMJELSkbSpUwR7QBdsUf2o0ncXHv1
eNvmEpDZ0uY3rj/cuHCEhs54Afo2bpBN2sdxyJsrvUZ6VS80/RY0ul0NH3mDTK8BTtIUjxmOq8vs
pto1AQuM3nIBvqdNc2djCw3/yexqbEGGlwKH3B7AcuOE5VC7N73Xiz15HZa8iuw+PWFBrbdO3Dx1
aSp3hEXUD217nQXJ26iU9lUEK/sTqPPus5h872LXJXGFFnghwLnevZ9o/UMpXTJRezG+xzXvUeyO
eX4DyhjVVxOjHIeabUJN08W5q/v0akjb4ZPRUzAySLV3Oan1ebj672EA9TccNK2zhZBp7IRR6PQE
SP7QNs6suc2TVXn1QQfFwC8KSHFs5TZWnIaqn8tL1bXdpwiV2xb+eR92bqedph4RFC73PIQ3BUS7
VgyIAYHeUVdciF4RInzFigB6CzYiWRESiaJJIDYkt2pFTIyKNtEo7kRS+MZ9kRgucnIrq495mxjb
Ai3bY55My51YqoVtgl/dUUILsB0UXXCD0d3lWundZrn90Vp6EHskDMHGS72LSxpx2NZt+oBRQZyn
UlvupqzdxHGNX4mspvI0gSrYNmzUDppu39aicp9+/3S9rV/Fu759fe1vnur/87+ep//9jAGtTeOk
/78/f9l9+zp+rbZP/dNPX+zWm/pevrbz29dOFryUb/T9V/5P/+P3+/79XL/++19PL+C0tmnXt+lz
/9+VApxjf3Nuvvx6CKpu62+nJqUCF6ZKOODYRF+j/zEEBSgDnIzPvKHOzZ+iu703Dgth6guadEoI
wK1/nJqcwgxG0UC54LNQd1Ou/Hgf7r6VB7yF396X71//Fy7XuyoVfffvf9kGy+K/nJoIxQHTsOSl
blFaqJ/E4v1cR6Iah03RmuWJLd5y0zpjTCjvyKZIB374UMxZeW7GZw0s7mXyIMo2hCYTyhFj62vM
/CYoaM6YwbWQHho/rffm3CnqwdJ/mjmx8p3VOQ8S59zAg6ylcQgskDllEKfBuMmC0tinIifxCojt
fGhdzIg7IGUjBJUUTZMinckzaF1mjZ7ZvZNw/T2FXs+uotEHJeuzXN3FlZyP1eKXnyrLQT5ucpFt
sYIzKyXZcgn9PK+3bTx7t1YsxLkpYWyU7UyYZlQPW8S4SPgSB5lNlenvIpgzZyBjdHzxEl8jta51
mCgFasmGUF6m1sE+QT2N1bYyriJ/1AHlM6v4wNTU2+J26c+2hpt6gmCfbGoFZAoUmildKU1W2nrL
tlDwpmTFOCmgU+I6JAI3c4W/RSrkkwOl6kRjmdHu/z/yzms5bizLor8yPwAFvHmZiM5MpKUnRfeC
oEgK3nt8/awLiSqpZEo1OQ81UYzujuoimWAigYtzz9l7bcib99InOpQARXWdYEZ1UhoTbC5QUtlM
lapmwlRO8O9ZJrBT/UygmnRlQIljuZbAUxmSrHAAAa1qZ35VK0mAx0lz2UPAsjlPKFH2E3E0AwRT
AFjqzMKaZi5W1Gsw66I2GT4oApzF2BSGlk+nx0PuPXr1up7QCMiR0u4UVZEPigNFwwvHAjaWDUkk
12vU/DRPRsmip20M5W1QpvSZjTyCblWogtIzbox6VM88eMKL0OOyAC22zeTspSFQmZzUKcUfW5ib
sAV9NySZfdBRQp3hh0hi2jCWtCO3aDrvVfm9VUYnxlSmNOl181AynVqWTaq4Mi1l3uoUtkvSrjb4
nvNFpzgX+RjIXJy2epYVbbAF2OqfZ7amP3khRS4BC5ug1i9LEMJb8JMF8m3qgDTNHpWaHDcpQORm
9M3Wy+XiKfF7uDtqS6M184IPgU3cjBwRdDw2dKSu26g2r8PC22sjigiRo4d+d4hds3SANCUewTVN
pytXpeRoN207aVcdWJANyEXzKmOAdoEA2zmZ0iQoMMUlwQmY/uBW70grXrRmB0JtaIzTQYmzjTVG
ryhftWalWuFN5dQqzw9ZxxcP4HOqGX0OPaEPlYWJGRUcKL569Fa22aJv7jvjVHVKkNgZodyGmZ6q
PvaxwMmL5VDrMtruQL1Q+3jcajKFV7UI/LQ4hORv4t3uHG2nRkm3IroofJVSBzygVWrXmKnV+1Qv
rWeieJwbVq5xMUyjfq7q4yPu8V2r05Y2C2jRll4PZ0T9kmDmdKX9IMGr2PggWlBTTh3cbd2F7roN
lfpRrjXiu4cPVl67loNSUW585bGuinHNvbZKivF9I5Gy0HsvZDYs8VhMIAMygHbQMKBY5UO8Glvt
ogJ3vhit/B7rFZFXdZO6CVIC6qSKSIBq0i5aJfuojA0YoZCmTxBJAr7XscvqDp035idk3tsItMFN
4xfL4ybfD5ps00TRLgCJ7PUweC1IoYLZQisjqU2fqqaOLxwb957c4ayPybIPYo04mNA+AOzI3M5K
rsfG2xVxs5Hr5DaBZE4U4oESl4G+Q3NJViqiGPPqAf12Qd1iMy8pGCBDF5ejaU2a1yX+PioN3GPK
hNBazrJlEAj6jm1dYayTGK0ae09JEKNQFSKbXOhTQxuHKnfpyJRUaeisbc2+sbL31tBcx05tAIUY
K2BL9nVLLdQm/drQy2lvZtMFHZM1UQ97DXFQG/vvkWB40MW41Sek1Cs2lI7AX4QbFNX+nZoai2bs
rRfJwlLvOGweMxmjeVzoSIei3K38znqUzD5fDX3w2OEjMfDsDzkkCXuID4HV+3tdGxsXOyJKvs7y
6DKW+qkfE9OJXAkyhGLraylNw6eGHNglACYZ+GSVuF7v6OvC8GyeBk62iqTAPrN65iZqVhKqB+EX
56aar6bCIMezxXw4Wkl7CqzIwFeUW+5gsyk1ouk69dJ1nIJOSseqOfMSuJyaTlzK5GzVFDls19rg
iBMvcCtGVVh34K5jw9hn1ciMC9/khiwHnFtVo15pEuRKBPaQ3as2dpYM2xF0lr38NIZjf+W3tlEv
ekv2JByR3aSt6qaTd0aNA3CBz8RZ5gE325lPG+1B8hwHD6dJMEXixDuTFMlz8lhWEiqPZVuN+r4s
nXAz4t3a/HvKP3aYPy//Fq9Z+4tREL/7qQB03uHfp0mjUgFqVFl4pz+PgqjyKAdFqCNTaBA9Qsj3
eRTEthmbIFUjtR4K9hmk+7mLZL6j5jNQm2NeZXLNtvvvFIDfqdfRD+okMmM81NEamqrYoH/tFsRp
EVdw+2AhtLlbd1F02oVh0SzTjtzvtPFh1+GufdQaKfNXWtPaOegvTdLWDiyBemlBI32u6eGXyKWd
tDgJYL1eNX5W3w0IA4BxZYVf31i14TzJGUCYJWszoTCaPETermf2gepDG7N23c8hMhCCUL0SMi93
+yKa42akXmTPpHMOTTZn0uSg0bWPGsK4wE3ytnYDEWDTgGUwDiBPYteSiIsB7Y3Zu5t938IBHsxm
8FGHZbtAJN6rbGGFYVz/5B5PZiu5T1GzAwaRDJta6gKV+OIIQIWfowNYar05dqeMjgjUoUMyRUui
1geG/aVny8uOBnfyaM8W3H624zazNTeTGaZvyo4n9C5NkmRL5SxlGx4OgrU7c3dxUsHghb9eazv2
zCDHHMzXbhLXvraEXEgw3xBZCjlDAuQbGr7B8lWoyX2fyX2yKp0AdF5YYiCysapc+R7vzAXgIo8r
a2YER+RRueBfmZXBSevu8AqVu9SkfAP0ukG+YLyiyCHdkiRqxVpEthFrri0ZcGkjOO9QVKUgvG6I
Zv6odfCHAdTJXb/QPBwKsFQKPn24wJehFGed6zTapJ0zXje2KlJzRIs0HBTCJy5UnbGCacdlBeRe
U9h2K6B345xaJh10aVxh+IrC9Zj544PUpP6wauskvqqTdLhta0m+wpIYfWhUL3yhakAsim5dv0WY
ZGkrg0tmHZL/ed5bXrRH+zGyqxmrNRla5gcH6MmJl+E0XfqqQoFDW6WMlipAHwps8rEZXW39NgAh
F/jvjSqOt47S+EuEBgmj88i/CkrF+6g4pXaqVMpdXzbPsVwmWzSaDAb6NFjmjVm4vdjYR4aR7+S6
0td0WJVdlAdPPJWoB0hj3E6VekZhn144ejSuent8diIzuRaHRcL1XPjKaVxwwUd0utZV0YYnUhq8
eJXxXKbJe6no4l1FU2dlg+OryDfrlk2SO5dGHynRMmom/5BM6lhuimEaHqd6qDZa7aWpK0+lCrHK
9nYRerC7TvyhZkoh7HtWc24ofsQkiAi6rLZPLSYN1aITIAJgVltntDtyklppo6sj4D74kdVdpCvg
qcygFgw8o12GJhvCyNaHVVFRZ2G7e58WkbTSSoU72pni+LKvge0PRsZCM/kgAnDwL32HCaKUav5J
kur8GmrH8zao7sh0CeldqOOyjDvkrLlpS/eO39NoUI1TjSyQNZFGwxJSZX7rW0WylnhYA0H2iv9F
f/j/aweDR8ovHmFP42tS/9yCJaI03roY6LTorfJfPOVowb88xEC+WzylZOF5F60M549RiPgWPWH+
A54Ms7zMtz4/xPR3/Ct+ge6vw3MMmfnfeYgpsuhSfDUM0RDEK4ZqmjaQMkY1Qi3/9UPMSmpVB/MM
0Lks7BN6rSo7ewn6FpbSOjNdz7E7ER+k4ECf2rG50eZIl0Qe9WmBKiga136W6g+NWfV3kkiCYT9P
U6SW2o2NN8VYKiaZMakyKnBS2UmqC1w7xMokHQkzVYgzDG8Om1NXj7p0g2U5Nq6KOZoGq3wju/BA
2ve6yK6ZQi7dRUtr3LzvB7vE2YOvvHInkXqTOWZ+whCQKByFueLWKulg42wUYTnDHJyjjWOBwptU
vCfEuDau1DHsyDq2sGa7U5Oj+Cmb8j1MurpfUG0QoisRWE96BJlgQTQWNzArSCKkFTFlQjDQ13sW
L42sQLxCT32ZBcie5LJ7STGqRQsoSxqbYjnq7pPaqZ6zRoN+NzCUvo5DW0EAF9eQSoBxww/wMwc+
rGojycRq7jgfg7hKz/CJaa9qMJwHyRBErsqio9L9aVTIaF3dQO+NNe02EC5Y+g+TQ3ZDhfRzGmOJ
eA3Nph80KlVXHtTW8euTLDDsdVWivbqv8iKFwtUFneoaPhHwCERl6QlBn/LMpwGldNSHsNl2uvQQ
+1W1HZMTyKy9gqvopIlB/v97il1uzl+tFO1z8IshEb/8aaHAWyljQLHAZIP20cjseat2CYCgCCYe
icJIZp76VcaYQgQ7UiTV0TTaNLMh822hYJwqKl3mRyYOGSGY+jsLhSoO8vVCQbVLUY3Aim4sAyzN
/tOQKAlHnS5tv7E1QgsW/iRn92Ti6e/9ObGmlNUrdv+GttVEog1UxmFCBapU3grJavuI2KU29mls
42EE5E4sDja4ql+oc1xOEVdE5wy+iNGxq5rvhnO8ToTBp3U7qowlc00CeDBkYVfAMu11e65/0inr
SSV93MeQWMMidEY3Atzsreg0kmsZtERc0seTl+WcewmGrULwJ9QE4LoUdasLqYEyqw5MD1nPasSQ
49En1OC1adjipU3p+KbvAghXoR3biq6xhXX6x5ZEFg8ERU/HMsPS2VaTyegEd6Pm1kWJl1RgsHfo
tKeefE2hyiD0ZUpv8DSYxVYPJtavzuqB1oWz5sMT8g+M5R4el9SqIEYEVb0pG2PcmD2AvCWI7oY+
j1GRrV5E3b4pSlLH0F4Xe7qQ9VWB+vHEqsIRUHfgDbpLwPZwN6qYV1w9lLXrKO0jc5PFjVO7UaNo
D45O3rmbeZ3jsb+WvYMRKcaFHOPZv4ghQj6MfhzT9wFuAmREbxG7OZCTFqHIrTaCkj4jOWndk6iP
vKWsgvZYjrDJrK0nsq8lkYLde+Rh5+Qs0YaSREx2Tk31MqlldZ9+itHGanrSEK09tgGMYeykBG4r
Insbsg8x3EQJ9atOE+Hc2hzUDU7YopuuJh8k06rZktMTLVfpFOPL8WssOuXs1plm506CK3rJoDWC
/DZ7e7q+FYulOU3UVyCbZKoqcuQOoo0D5hB0JijK2TyEFot1XheeokFo/11zNJ1LzLPZkxPWpn5t
QIis1zI5EfItEeD5LYpYf405CtuSj2D3QgPjvY8L03qBoAK9aRReJxy+2J6iQSlCV5/tUEVPFhNZ
mpikWs4RmyLhnSILd7iYLINmYta1Usrqj8/KrMPxPjJ5ygFSxoYlOTCRCuHNKmeX1mzYKnKjReM/
e7nyMMjWw+zwime31yCMX6RtmLZbzn4w8vbwhqF3zi662TGWze6xpLebjS5sZWo+NVDqrcQ5E3zO
91bVebtcWNH6PDB3WCZyis/EPOv0srqShHktYxeZr2S94WFIQ4qBhDC6GbPnLZz9b8YUeadRXk7L
BqYvmj6/YEkYK8gseAps4S6gedmbOxJaMR3IswGhFV6EQrgSvNmg0EwYyN1xNi6UfVDs8Z+8BEN6
VoWadmBj0ruqcDogUsP0YAv/g+W0arXKiI1lIFgVOb2p2S6hztaJ3MZFQc8bQ0WKo+2WRZnNx6jW
8sUwmy9S4cMAQoslA7G4JJ0jkwpJYvEIo77WeiO4ix3yLhAKq/qau0LAXx2pM3YGn/2dHDa0LNW6
cc66qkZEHevgPTEIJ7TuEzqlQDBfi74yqo0cyvLHCu34FWrI7ETCp+EtjATbxwpgW3HvTRE6tzgx
s0NhWUa3LIMRYCqiRDRwmjXK4cYkOI07Iqm3RPRsizmTS3JEPlc1Z3Vhg3G2uR8Q4FVNFVleItbL
UMUWVUR9jQ03/o3EC7Sc8xDBi0PydXvw6qYlz2xODNPn9DAgqMQ2ikQxgDNq7qbANoFGWC3IGXVO
IOtLkUamaznEjHBOKXPoe5Tou0R6WS2CzAIRaRbIIt1Mn5POgjn17F9TZhi/lFf/J4ZuuCPl6KcS
a/H7nyoNwv10ljyqDeGbZRPxZbBqvaNOEPRD+mQGnAfr6y0JjQ/4XLKJM40f+WOuqiPLhkSIPo/p
nWbwj3+n0BAqr6/rDDYkNmNVDmWwt+Ev4E/4ekPCatS2BDFgsdTV3h3LSULRWgCrW7At9zBBeAT4
nWNgKrV11yk2w/5yqA+y17cn3QDwSqmLic5YrMkAZyvmFfSspQPZvE0B1SeQr8eCYnrXoohpdpDA
tVeo9wgsla4CH1QLjMqmSL1h6+RIkLW2SOols6dKWUnV1O2p+MduKRtt7qx8ufRedaPXLu1CLZVF
y6p6Uekd/oeArORw2ftEj0CNxjyB34/tQBDHDPDSRKPuMHVf7UgYyfO1p+rKRDVRVbceDvYQRAFW
B0IDyfW10qgalkyIBrYXSZSdQZ4owOv7I0GnVZqieSiJTUqhAoBgwhJXboOA56mRS8RLGIzJMGpa
etFTSCkN9F8JosCizUsdwGuKqnWyfHRwdh8yaAPH5G8Y+PjSsjB90F3YmxFuNGHWn1pzVGtF1wC3
CkM1gLxznCvZfoNbS3ZyUY8i7lVlKv5R9+T647/n5uUq//ke4T8vTyhxf95NMPjtz5sEDWWlo4Bz
UZFIUva/7REEH1/HGCHLmoLHC5Hkl444vgnuc9RddMsVlduUyv5zM8F6BzcPdKlhc9uj/lL/Hj9P
GNa+vncJIBMmC41th27LKDb+tEeAE87MMNU22hTF+VIKRpibdSnvtWiwr23F6rfSNE0o/W39QIa1
91pJln2WtUpxWbYFUGWjacCBp0N3nxt9d8gZPJ/JkL8IpI1Ccz12ls4l3xbXieF0bmPWMUIkJUF5
XHXWyjfK9KatJ5RhWSk9etyJ8YqFYUSHJrcOcBldZsqUjaSN0JI8r3zL2/vNmJxPStDLm8HujEeE
L/JVKw+StSqNMNE+elOS4qa2kmpD2GaEp6iWhj2+aPVqanyZcWqYM32GGO3yEQy7WrFqenOhv0MF
Tr9OavBHEAUgo83q1A+OXFSvI+DLe/ih9ntag8CvGdjlqVsjy1hZUxafqYbshyT0ajb+jbA+sSeM
WRRxBLhkmtV/1MGCH5rQithVYEh/pc3vv/ZFieKrwkD9DFl4l8tD+JHqZHgB9Rxd5rButqNe5CjU
W+0Domzaz4FPkPIwECeH9IQGNoYNw1/rna2c0QMv9rY/kvGTa8qZHqc4pUdL3VJiKtcylD58yOhK
vFVF78KVgfk94PJQiSXShsCgVtHTM6eVvPdNN0VXpDm5ZOn05VK1LWuHSq6kHkSJsbBlQjosU4pJ
jDdLjk4naUffW4fUbfsnas1Fwn4uR9xqNfqwSXwJY1jSRcUmtBP/tuyL+IwJdnA9JnXvVuxeSSKr
89J1hhSbRGta0l2cSRJO46l7aK3aeTFQjj2oYRiEyygzkOWxGErPhZWoGz02ov1UVAqmvizrDbpT
iqjn9PZGl0m2xhYfSwc8Fcal5LQMjNtkYsZQESmwItOgenBgY9H3dnC+57FmPZQMRFexlHQPtuNJ
zCdCEA85OJ9HJ6mUBRsK55qalsq2twWTK+iyGxqAicxMtWqvk6HIwt1oSd2DJFv5gzIZ4UmiW/mp
o7ENpHrMS7Dz6nDr1IW5NY2yP2kGATOoxkhdATLsH/s8K5f0pNUT09d7Zsxaf4KBQnKHvDsJeRuH
shiabQFBMCETr6xJ+Ml4O0oRbzQy+F7MiHm8Zg5P+BotBubWWYa/5BzOO2bx0TMJAsD07T9JUli+
DOg7NXavE0bxiY2XNhETvoDdk7frQYJqWBbCBMGW1No1Nql0VZmVGY/xsNYvcp8CYWFJgXxlEu+a
n4RdJW1LxyvXYMNN7xnZkaQsvU6aDjKAX0zhkOam076vw2SvBG113REtF583WAFg1YLtv0RVxV5d
Trv6VFIG+ngNOQFQhz1trdfopBq9T2+nUrlowBazbAXGWQWzWyOSUTGHlReQxL0blZ4tXEtvzVuK
/Vi3ZAhhVeQ89BoTZkyHqd4N0h5OoG8tNSJeAe0IZ1ZqxMoD/FvyWrXCauzLQViuDIsPuBLBvCvs
QebgOsKxpczmLahv/dpDkQJL10iFxWuabK+kPdhE5FPwZvITJVCzRTtMeJwYh9WbCfcG6hEfoP2E
HwjChJF+FKDGD6Heth+B8bXVPgzjzD6LdVNa5YDqJzfymYyQ/kvY6wmlUOW7BcvrpmgUEefRNlpF
YyNjelGxm95pLL/GjZQ1PjEPWoM70oMJh7A1quvFZEF0XsdWPOmL0onyZNGQl8lToIeqz4w0sthD
jWJZzeSQk0bbxcufmTz6Bx2B0AoCFMM1xGHKGYuQdJZyDZ+U4AXtlU6vdSQLIVKu0BQVB8sujdMO
zKEbVnpxMjRS6fJqIpANTAT0qTahHxFrmKjwoUYQEUbZeNBCRqjUVbiVG4PdNWLWLrzTK1t5JKfE
WyeRnb8oNdtZLqne9pYGLmuUOyGoPTB2Voyxq/WfiFk0Vhi+yLnPNc/VuDuvvcgDDCs3BcEZFiSz
yrPBr2hydehMTVu1tj/c/XtqIUYQv6iFPoS/KIT41U+FkPUOaBzieIvQW3TwCNffKiHrHYZnHYu6
pVHUiC3Ol0rIfMc3FIPCiU2KQ8eUl/syVrGpV4Dh2bwghdSRACDap8xSCFynPDZY+UX60de7GDa6
UUBM+dL2edgBM7kJNcvkyRhmXKkCDNIazoWaS91yGGPi1szUclMlA8gJz33RtODDJJPb2oFetzSK
qbpE+0idMErU6xOpB2z6uSzNbEv6QLimeBrXZR+uU61pNmURnOHXuuf55i989BMrT2qYlkzWs8FZ
2zZtCJiXdJqAUn43eLF6OjbIdbwmvdKlSL3McZRnY6nvmG5HpwV2nbUfWcGCdsVWpsfV98lBGkGL
NBKCUvEu5AneZmztx3DPOhAcmC9sKV+Uk1SKVkw4Xup6DO7I/l7XamouIBWLLC/jMBmevFRDLOmo
wqa1LVfrTukepr7aQhrZVLVcLMyy8pd5Mb14Edo0J9X3AAPkRSZpqZvyqLtrEzl9wGJnPyiqD3PY
cvwNGYY1UqxwrRklVp2kD08DPZw4TLw2GbIvelmuyBGEIRYa+iUe8ZxWXvRChOAdkPR+2zr1pcMM
maew763A4mxbUCgucblMXqdnLK7uVOick1h/Qft5O4C5eQ0JElpqGSwiqRkvtYlcwoSZF7Mg9JxK
pr/I6hBdgoJCHZFZzoohNKFCqHwhbKBEU3Mcg16np/ROx/FF9n3r0SbJeN0qZf9gFD6tm0auV7LR
kNNXUQOUdPkOmak8lIoO5XTK45EmtEL/So3NUyTDL1EY0byr4YtobV2eDcx/SEJKXpxRD1/EP4Q+
lWtpZR2EkqrcDVIdnThdhDcwJFT4BT9n+DjJUXZCeSk4e5m/MYNCIBerHMzTiEczDjHEBoD9VnHb
6LcF2pf7Fl7wPtP12O10pokmLoKtDp/lUMmefuuQtb5VFK+/nsy4v4aAJSFxKwLbxyPSQzc0h+hj
TL6Lm2X2tHWmMDzTw3xw1dGpt10yTDFqBDk6DMj7qwTGA2RsiXTceNh7ul8sy7wfYt5BRa40dkq4
ccVwwWocu3IXQGFKhjYge0u5pPqE6UgZ8pK36gc/pqBROMkf+gpugtWobbFwYjV2HbzL24TxjVvl
bbEO+0lya8F2KAXloZ2BDzTT6H4JCoRiFv4+79SST3c8VwUrYhTUiHSMnNMMtM9BMmFKTIIuQTCD
Qha14E5UoCWXgYlLsrAJeE5i5oP5cE24SbU2BLWiFPwKT5As2AEVd2gKqq1fMIOM6OcLXTCBlLG3
JSvIchHlwsVQuF+qzkjv7bB+stUGWWtpNxfETkZ7C1j4uurqAjWOU6x6s07Q2fhAOLKQUwuWI89b
aArAaa894N+LKSMSOw+L4F7WQogemidjb7bMamvoan5KOIR2hptkWGddj4ocmREPSObK8tQoVxWv
vG+DPl4rkhztFL/k8WkZ/Wnqy6arxyE3gCzVB4UJ000aijuZdKYHzU7U26pq8vu+y2iqDlkHwKIh
u7dTGwbUsTque1vBJJPyP4YyvNjmMGyoAZyVotfKTqo19X4ypfokSsZqD7Lafq6Y5y5tWWnpoFMP
ZNZab8eVUrf3Y5Y+E5Ix4puOb+XOOWiRf+azFhreczBeDoAKC4bUnP/mRtW7JwoIa9np/plZqYuo
DQgiQzjlGmp21SqSeQCrdqYM2evU5t3C6ttwNTWZvQPjiMalkKpnrcv/QRAJYUH5mXPki39COFBm
48RN/p295Ld+6M2I8eMX+saK8py3WSOMLT42Z8qDP1ypoq/5TaEx/0mzDeZXr5CQ+dO0L7hcyIKh
4ckjnLt6/uIFkzzzP3+bGoQvfJdv30bawfG+OkM/Owe/fnvfe3S+f51v3sBP3Tj0iGRFEDR+5zT8
6VX+OA3mO5rEABRMhsnzFy/41Wkw3wmwhq0roIfmr3/cafjsT9bolh15IlDKOHTYKDw/fX1zIkR8
pSXAk2/f/iQh+gddD29G7WOvCAPVAcJblE2fzwPv9JsrQoEEiM/0H3tFoKGgQP/0+fyxoP1kffjF
jQEDG1oNyoxPX9+eBjJN2JzQpBVjE/H1aePzD7oe+MsZ3LBBOuq2oMFMx9kQdv5vLgNLMMbhmAmh
9qevf9r6+HY/fPpgjrkQULagsNHengR/PhHQBrhdFHad89ffWBh+42r58kRdBmHyMj9ww9f6K7vn
X/7A2/Po+xf40/P0mx8UVtBPL/3poSv+/39/c7PMz8Kvvvn2bJyP8/nXP7/B7w/9zbHe3tXbv9yG
YCkqCq75G+PnP/PsKeWxfT7+wF7KHU+/RsxA5wJBHPw7G+uXu+CXrw7m8vsh65cF5diXP/Qk1f3o
9cHjW2IOdOSff3h6aX+UHfBlKTj2AEvcnfV/XYXdj8KgeV7ABOHxc+xRFjlB3D86TTh/BbTr2Nf/
T/aUfvjRB/GlpDr2CI9P6ccfftSfFyWVauXYYzzkH17fXuUrUItKhXbsS9/wt3/4wYX69tdTKh97
iOs8zpsffMhvh/g/uIzmy7T+/jp6OwSj0mPfxQWF9OtT+/Nj8DA49hjn9Y/WpLc3wfP96ANkv7Ds
a/8H99tvhMcfufD9XgbokQc5efLzn19OYgNy7CdxyP2fq4kFjvDoA/x1lN+RJ+mAS/Qv82uOPsaP
Hg+f7wgRLnjsafqdpIIj38NfsoKPfP3fQHIeeYS/TQ878nhuBs//pyutTlV+7Mf+G8inY9/DL1ba
GY5y7Ot/yLPx50uIQE0fe5JWr0nz89JA4KWOPcJvWIiPPE2L33F4HX2Mv/aGHHmI39SFHnuU3xGw
HXuMvxwM//IAP9pmfunVfr/5fOvB/ujXvt1Zi594Tl6fqv/+HwAAAP//</cx:binary>
              </cx:geoCache>
            </cx:geography>
          </cx:layoutPr>
          <cx:valueColors>
            <cx:minColor>
              <a:schemeClr val="bg1"/>
            </cx:minColor>
            <cx:maxColor>
              <a:srgbClr val="642238"/>
            </cx:maxColor>
          </cx:valueColors>
        </cx:series>
      </cx:plotAreaRegion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9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/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3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3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1.png"/><Relationship Id="rId7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svg"/><Relationship Id="rId5" Type="http://schemas.openxmlformats.org/officeDocument/2006/relationships/image" Target="../media/image3.png"/><Relationship Id="rId10" Type="http://schemas.microsoft.com/office/2014/relationships/chartEx" Target="../charts/chartEx1.xml"/><Relationship Id="rId4" Type="http://schemas.openxmlformats.org/officeDocument/2006/relationships/image" Target="../media/image2.svg"/><Relationship Id="rId9" Type="http://schemas.openxmlformats.org/officeDocument/2006/relationships/image" Target="../media/image6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243840</xdr:colOff>
      <xdr:row>4</xdr:row>
      <xdr:rowOff>60960</xdr:rowOff>
    </xdr:from>
    <xdr:to>
      <xdr:col>21</xdr:col>
      <xdr:colOff>7620</xdr:colOff>
      <xdr:row>35</xdr:row>
      <xdr:rowOff>114300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A0255BC7-96C2-49A2-415A-86EFAA6E4F00}"/>
            </a:ext>
          </a:extLst>
        </xdr:cNvPr>
        <xdr:cNvGrpSpPr/>
      </xdr:nvGrpSpPr>
      <xdr:grpSpPr>
        <a:xfrm>
          <a:off x="3291840" y="792480"/>
          <a:ext cx="9517380" cy="5722620"/>
          <a:chOff x="3291840" y="792480"/>
          <a:chExt cx="9517380" cy="5722620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438AD9EB-CC96-8609-F986-3D0865EB3046}"/>
              </a:ext>
            </a:extLst>
          </xdr:cNvPr>
          <xdr:cNvSpPr/>
        </xdr:nvSpPr>
        <xdr:spPr>
          <a:xfrm>
            <a:off x="3291840" y="853440"/>
            <a:ext cx="9517380" cy="5661660"/>
          </a:xfrm>
          <a:prstGeom prst="rect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D75AF7AB-B781-C677-A0B1-C71EDE6B014C}"/>
              </a:ext>
            </a:extLst>
          </xdr:cNvPr>
          <xdr:cNvSpPr/>
        </xdr:nvSpPr>
        <xdr:spPr>
          <a:xfrm>
            <a:off x="3429000" y="1994534"/>
            <a:ext cx="4632960" cy="2139315"/>
          </a:xfrm>
          <a:prstGeom prst="roundRect">
            <a:avLst>
              <a:gd name="adj" fmla="val 5913"/>
            </a:avLst>
          </a:prstGeom>
          <a:solidFill>
            <a:srgbClr val="C28F0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9EC88F8B-20D2-F51D-706F-B53F052D9A31}"/>
              </a:ext>
            </a:extLst>
          </xdr:cNvPr>
          <xdr:cNvSpPr/>
        </xdr:nvSpPr>
        <xdr:spPr>
          <a:xfrm>
            <a:off x="8145780" y="904875"/>
            <a:ext cx="4526280" cy="5547360"/>
          </a:xfrm>
          <a:prstGeom prst="roundRect">
            <a:avLst>
              <a:gd name="adj" fmla="val 1031"/>
            </a:avLst>
          </a:prstGeom>
          <a:solidFill>
            <a:srgbClr val="C28F0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Rectangle: Rounded Corners 5">
            <a:extLst>
              <a:ext uri="{FF2B5EF4-FFF2-40B4-BE49-F238E27FC236}">
                <a16:creationId xmlns:a16="http://schemas.microsoft.com/office/drawing/2014/main" id="{53F26BF8-D7C7-6F05-3ED0-462FFFE5763C}"/>
              </a:ext>
            </a:extLst>
          </xdr:cNvPr>
          <xdr:cNvSpPr/>
        </xdr:nvSpPr>
        <xdr:spPr>
          <a:xfrm>
            <a:off x="3429000" y="904875"/>
            <a:ext cx="4632960" cy="1000125"/>
          </a:xfrm>
          <a:prstGeom prst="roundRect">
            <a:avLst>
              <a:gd name="adj" fmla="val 5913"/>
            </a:avLst>
          </a:prstGeom>
          <a:solidFill>
            <a:srgbClr val="C28F0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627FE554-BC10-4810-A39D-B0F3B22F05DF}"/>
              </a:ext>
            </a:extLst>
          </xdr:cNvPr>
          <xdr:cNvSpPr/>
        </xdr:nvSpPr>
        <xdr:spPr>
          <a:xfrm>
            <a:off x="3429000" y="4236720"/>
            <a:ext cx="4632960" cy="2215515"/>
          </a:xfrm>
          <a:prstGeom prst="roundRect">
            <a:avLst>
              <a:gd name="adj" fmla="val 5913"/>
            </a:avLst>
          </a:prstGeom>
          <a:solidFill>
            <a:srgbClr val="C28F0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74E43105-D3C1-4D0B-85FE-A5D47D10304E}"/>
              </a:ext>
            </a:extLst>
          </xdr:cNvPr>
          <xdr:cNvGraphicFramePr>
            <a:graphicFrameLocks/>
          </xdr:cNvGraphicFramePr>
        </xdr:nvGraphicFramePr>
        <xdr:xfrm>
          <a:off x="3882392" y="2446020"/>
          <a:ext cx="1853184" cy="13898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8" name="Chart 17">
            <a:extLst>
              <a:ext uri="{FF2B5EF4-FFF2-40B4-BE49-F238E27FC236}">
                <a16:creationId xmlns:a16="http://schemas.microsoft.com/office/drawing/2014/main" id="{AF95B799-C2DD-4589-9A4E-E30638BF044B}"/>
              </a:ext>
            </a:extLst>
          </xdr:cNvPr>
          <xdr:cNvGraphicFramePr>
            <a:graphicFrameLocks/>
          </xdr:cNvGraphicFramePr>
        </xdr:nvGraphicFramePr>
        <xdr:xfrm>
          <a:off x="5796929" y="2446027"/>
          <a:ext cx="1856232" cy="13898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cxnSp macro="">
        <xdr:nvCxnSpPr>
          <xdr:cNvPr id="20" name="Straight Connector 19">
            <a:extLst>
              <a:ext uri="{FF2B5EF4-FFF2-40B4-BE49-F238E27FC236}">
                <a16:creationId xmlns:a16="http://schemas.microsoft.com/office/drawing/2014/main" id="{9BB9FFFC-59EE-D0CF-1EC2-BD4BF54A5659}"/>
              </a:ext>
            </a:extLst>
          </xdr:cNvPr>
          <xdr:cNvCxnSpPr/>
        </xdr:nvCxnSpPr>
        <xdr:spPr>
          <a:xfrm>
            <a:off x="5402580" y="2369820"/>
            <a:ext cx="7620" cy="762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27" name="Graphic 26" descr="Female Profile with solid fill">
            <a:extLst>
              <a:ext uri="{FF2B5EF4-FFF2-40B4-BE49-F238E27FC236}">
                <a16:creationId xmlns:a16="http://schemas.microsoft.com/office/drawing/2014/main" id="{69040CBF-7084-FD41-B7CC-D00EC64C13A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3429000" y="3185160"/>
            <a:ext cx="914400" cy="914400"/>
          </a:xfrm>
          <a:prstGeom prst="rect">
            <a:avLst/>
          </a:prstGeom>
        </xdr:spPr>
      </xdr:pic>
      <xdr:pic>
        <xdr:nvPicPr>
          <xdr:cNvPr id="29" name="Graphic 28" descr="Male profile with solid fill">
            <a:extLst>
              <a:ext uri="{FF2B5EF4-FFF2-40B4-BE49-F238E27FC236}">
                <a16:creationId xmlns:a16="http://schemas.microsoft.com/office/drawing/2014/main" id="{45EF96FF-C941-0B28-4419-9F3FC6656E4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132320" y="3185160"/>
            <a:ext cx="914400" cy="914400"/>
          </a:xfrm>
          <a:prstGeom prst="rect">
            <a:avLst/>
          </a:prstGeom>
        </xdr:spPr>
      </xdr:pic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234E5E94-D566-1F69-1E26-FE7B1CE84321}"/>
              </a:ext>
            </a:extLst>
          </xdr:cNvPr>
          <xdr:cNvSpPr txBox="1"/>
        </xdr:nvSpPr>
        <xdr:spPr>
          <a:xfrm>
            <a:off x="4678680" y="1994534"/>
            <a:ext cx="214884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600">
                <a:solidFill>
                  <a:schemeClr val="tx1">
                    <a:lumMod val="95000"/>
                    <a:lumOff val="5000"/>
                  </a:schemeClr>
                </a:solidFill>
                <a:latin typeface="Arial Rounded MT Bold" panose="020F0704030504030204" pitchFamily="34" charset="0"/>
              </a:rPr>
              <a:t>Gender</a:t>
            </a:r>
            <a:r>
              <a:rPr lang="en-US" sz="1600">
                <a:solidFill>
                  <a:schemeClr val="bg1"/>
                </a:solidFill>
                <a:latin typeface="Arial Rounded MT Bold" panose="020F0704030504030204" pitchFamily="34" charset="0"/>
              </a:rPr>
              <a:t> Distribution</a:t>
            </a: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224183F5-73F4-3C7B-CCB2-49168B972EC0}"/>
              </a:ext>
            </a:extLst>
          </xdr:cNvPr>
          <xdr:cNvSpPr txBox="1"/>
        </xdr:nvSpPr>
        <xdr:spPr>
          <a:xfrm>
            <a:off x="4457700" y="3733800"/>
            <a:ext cx="82296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>
                <a:solidFill>
                  <a:srgbClr val="642238"/>
                </a:solidFill>
                <a:latin typeface="Arial Rounded MT Bold" panose="020F0704030504030204" pitchFamily="34" charset="0"/>
              </a:rPr>
              <a:t>Female</a:t>
            </a:r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619E1E79-0243-2017-35E7-79A44128F618}"/>
              </a:ext>
            </a:extLst>
          </xdr:cNvPr>
          <xdr:cNvSpPr txBox="1"/>
        </xdr:nvSpPr>
        <xdr:spPr>
          <a:xfrm>
            <a:off x="6377940" y="3733800"/>
            <a:ext cx="61722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>
                <a:latin typeface="Arial Rounded MT Bold" panose="020F0704030504030204" pitchFamily="34" charset="0"/>
              </a:rPr>
              <a:t>Male</a:t>
            </a:r>
          </a:p>
          <a:p>
            <a:endParaRPr lang="en-US" sz="1400">
              <a:latin typeface="Arial Rounded MT Bold" panose="020F0704030504030204" pitchFamily="34" charset="0"/>
            </a:endParaRPr>
          </a:p>
          <a:p>
            <a:endParaRPr lang="en-US" sz="1400">
              <a:latin typeface="Arial Rounded MT Bold" panose="020F0704030504030204" pitchFamily="34" charset="0"/>
            </a:endParaRPr>
          </a:p>
          <a:p>
            <a:endParaRPr lang="en-US" sz="1400">
              <a:latin typeface="Arial Rounded MT Bold" panose="020F0704030504030204" pitchFamily="34" charset="0"/>
            </a:endParaRPr>
          </a:p>
          <a:p>
            <a:endParaRPr lang="en-US" sz="1400">
              <a:latin typeface="Arial Rounded MT Bold" panose="020F0704030504030204" pitchFamily="34" charset="0"/>
            </a:endParaRPr>
          </a:p>
        </xdr:txBody>
      </xdr:sp>
      <xdr:sp macro="" textlink="'Pivot Table'!C9">
        <xdr:nvSpPr>
          <xdr:cNvPr id="33" name="TextBox 32">
            <a:extLst>
              <a:ext uri="{FF2B5EF4-FFF2-40B4-BE49-F238E27FC236}">
                <a16:creationId xmlns:a16="http://schemas.microsoft.com/office/drawing/2014/main" id="{4E6901C7-3327-D0CC-60C5-355582D3D470}"/>
              </a:ext>
            </a:extLst>
          </xdr:cNvPr>
          <xdr:cNvSpPr txBox="1"/>
        </xdr:nvSpPr>
        <xdr:spPr>
          <a:xfrm>
            <a:off x="4541520" y="2918460"/>
            <a:ext cx="716280" cy="3352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BF079212-2CA1-4C6B-9694-9A242233E614}" type="TxLink">
              <a:rPr lang="en-US" sz="1600" b="1" i="0" u="none" strike="noStrike">
                <a:solidFill>
                  <a:srgbClr val="642238"/>
                </a:solidFill>
                <a:latin typeface="Calibri"/>
                <a:ea typeface="Calibri"/>
                <a:cs typeface="Calibri"/>
              </a:rPr>
              <a:pPr/>
              <a:t>62.5%</a:t>
            </a:fld>
            <a:endParaRPr lang="en-US" sz="1600">
              <a:solidFill>
                <a:srgbClr val="642238"/>
              </a:solidFill>
            </a:endParaRPr>
          </a:p>
        </xdr:txBody>
      </xdr:sp>
      <xdr:sp macro="" textlink="'Pivot Table'!C10">
        <xdr:nvSpPr>
          <xdr:cNvPr id="34" name="TextBox 33">
            <a:extLst>
              <a:ext uri="{FF2B5EF4-FFF2-40B4-BE49-F238E27FC236}">
                <a16:creationId xmlns:a16="http://schemas.microsoft.com/office/drawing/2014/main" id="{70A27C5C-6DF9-284D-EE37-A5CBA4761EA0}"/>
              </a:ext>
            </a:extLst>
          </xdr:cNvPr>
          <xdr:cNvSpPr txBox="1"/>
        </xdr:nvSpPr>
        <xdr:spPr>
          <a:xfrm>
            <a:off x="6301740" y="2918460"/>
            <a:ext cx="716280" cy="3352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C8E97F28-4015-4585-BFEE-55FB9DBE3ABB}" type="TxLink">
              <a:rPr lang="en-US" sz="1600" b="1" i="0" u="none" strike="noStrike">
                <a:solidFill>
                  <a:srgbClr val="121212"/>
                </a:solidFill>
                <a:latin typeface="Calibri"/>
                <a:ea typeface="Calibri"/>
                <a:cs typeface="Calibri"/>
              </a:rPr>
              <a:pPr marL="0" indent="0"/>
              <a:t>37.5%</a:t>
            </a:fld>
            <a:endParaRPr lang="en-US" sz="1600" b="1" i="0" u="none" strike="noStrike">
              <a:solidFill>
                <a:srgbClr val="121212"/>
              </a:solidFill>
              <a:latin typeface="Calibri"/>
              <a:ea typeface="Calibri"/>
              <a:cs typeface="Calibri"/>
            </a:endParaRPr>
          </a:p>
        </xdr:txBody>
      </xdr:sp>
      <xdr:graphicFrame macro="">
        <xdr:nvGraphicFramePr>
          <xdr:cNvPr id="35" name="Chart 34">
            <a:extLst>
              <a:ext uri="{FF2B5EF4-FFF2-40B4-BE49-F238E27FC236}">
                <a16:creationId xmlns:a16="http://schemas.microsoft.com/office/drawing/2014/main" id="{EA061BE8-0A3C-49B7-BC12-42171453A426}"/>
              </a:ext>
            </a:extLst>
          </xdr:cNvPr>
          <xdr:cNvGraphicFramePr>
            <a:graphicFrameLocks/>
          </xdr:cNvGraphicFramePr>
        </xdr:nvGraphicFramePr>
        <xdr:xfrm>
          <a:off x="3756660" y="4884419"/>
          <a:ext cx="3931920" cy="150399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36" name="TextBox 35">
            <a:extLst>
              <a:ext uri="{FF2B5EF4-FFF2-40B4-BE49-F238E27FC236}">
                <a16:creationId xmlns:a16="http://schemas.microsoft.com/office/drawing/2014/main" id="{63E3908D-4661-26A2-CC61-74BB7B16E47A}"/>
              </a:ext>
            </a:extLst>
          </xdr:cNvPr>
          <xdr:cNvSpPr txBox="1"/>
        </xdr:nvSpPr>
        <xdr:spPr>
          <a:xfrm>
            <a:off x="4381500" y="4242434"/>
            <a:ext cx="270510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600">
                <a:solidFill>
                  <a:schemeClr val="tx1">
                    <a:lumMod val="95000"/>
                    <a:lumOff val="5000"/>
                  </a:schemeClr>
                </a:solidFill>
                <a:latin typeface="Arial Rounded MT Bold" panose="020F0704030504030204" pitchFamily="34" charset="0"/>
              </a:rPr>
              <a:t>Age Group </a:t>
            </a:r>
            <a:r>
              <a:rPr lang="en-US" sz="1600">
                <a:solidFill>
                  <a:schemeClr val="bg1"/>
                </a:solidFill>
                <a:latin typeface="Arial Rounded MT Bold" panose="020F0704030504030204" pitchFamily="34" charset="0"/>
              </a:rPr>
              <a:t>Distribution</a:t>
            </a:r>
          </a:p>
        </xdr:txBody>
      </xdr: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2B951871-CFFD-CC54-CE22-23E7929D5D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489961" y="4244341"/>
            <a:ext cx="1165860" cy="853439"/>
          </a:xfrm>
          <a:prstGeom prst="rect">
            <a:avLst/>
          </a:prstGeom>
        </xdr:spPr>
      </xdr:pic>
      <xdr:pic>
        <xdr:nvPicPr>
          <xdr:cNvPr id="7" name="Picture 6">
            <a:extLst>
              <a:ext uri="{FF2B5EF4-FFF2-40B4-BE49-F238E27FC236}">
                <a16:creationId xmlns:a16="http://schemas.microsoft.com/office/drawing/2014/main" id="{019C1ACF-AC2C-3E1D-3A8C-6245B542CE9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 cstate="print">
            <a:duotone>
              <a:prstClr val="black"/>
              <a:srgbClr val="C28F0E">
                <a:tint val="45000"/>
                <a:satMod val="400000"/>
              </a:srgbClr>
            </a:duotone>
            <a:alphaModFix amt="36000"/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436620" y="914400"/>
            <a:ext cx="1100631" cy="987552"/>
          </a:xfrm>
          <a:prstGeom prst="rect">
            <a:avLst/>
          </a:prstGeom>
          <a:solidFill>
            <a:schemeClr val="tx1"/>
          </a:solidFill>
          <a:ln>
            <a:noFill/>
          </a:ln>
        </xdr:spPr>
      </xdr:pic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C9C0C3D0-773F-3456-426F-F62A38D60C75}"/>
              </a:ext>
            </a:extLst>
          </xdr:cNvPr>
          <xdr:cNvSpPr txBox="1"/>
        </xdr:nvSpPr>
        <xdr:spPr>
          <a:xfrm>
            <a:off x="4533900" y="792480"/>
            <a:ext cx="2705100" cy="7848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6000">
                <a:solidFill>
                  <a:schemeClr val="tx1">
                    <a:lumMod val="95000"/>
                    <a:lumOff val="5000"/>
                  </a:schemeClr>
                </a:solidFill>
                <a:latin typeface="Arial Rounded MT Bold" panose="020F0704030504030204" pitchFamily="34" charset="0"/>
              </a:rPr>
              <a:t>DE</a:t>
            </a:r>
            <a:r>
              <a:rPr lang="en-US" sz="6000">
                <a:solidFill>
                  <a:schemeClr val="bg1"/>
                </a:solidFill>
                <a:latin typeface="Arial Rounded MT Bold" panose="020F0704030504030204" pitchFamily="34" charset="0"/>
              </a:rPr>
              <a:t>MO</a:t>
            </a: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CBF078E2-A0CB-9EAC-1690-8CF3E1EF3BEC}"/>
              </a:ext>
            </a:extLst>
          </xdr:cNvPr>
          <xdr:cNvSpPr txBox="1"/>
        </xdr:nvSpPr>
        <xdr:spPr>
          <a:xfrm>
            <a:off x="4564380" y="1567814"/>
            <a:ext cx="166878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800">
                <a:solidFill>
                  <a:schemeClr val="bg1"/>
                </a:solidFill>
                <a:latin typeface="Arial Rounded MT Bold" panose="020F0704030504030204" pitchFamily="34" charset="0"/>
              </a:rPr>
              <a:t>Dash</a:t>
            </a:r>
            <a:r>
              <a:rPr lang="en-US" sz="1800">
                <a:solidFill>
                  <a:schemeClr val="tx1">
                    <a:lumMod val="95000"/>
                    <a:lumOff val="5000"/>
                  </a:schemeClr>
                </a:solidFill>
                <a:latin typeface="Arial Rounded MT Bold" panose="020F0704030504030204" pitchFamily="34" charset="0"/>
              </a:rPr>
              <a:t>board</a:t>
            </a:r>
          </a:p>
          <a:p>
            <a:pPr algn="ctr"/>
            <a:endParaRPr lang="en-US" sz="1600">
              <a:solidFill>
                <a:schemeClr val="bg1"/>
              </a:solidFill>
              <a:latin typeface="Arial Rounded MT Bold" panose="020F0704030504030204" pitchFamily="34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D3B91D36-3D89-A4AF-BF5E-A273678D1807}"/>
              </a:ext>
            </a:extLst>
          </xdr:cNvPr>
          <xdr:cNvSpPr txBox="1"/>
        </xdr:nvSpPr>
        <xdr:spPr>
          <a:xfrm>
            <a:off x="8153400" y="973454"/>
            <a:ext cx="132588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600">
                <a:solidFill>
                  <a:schemeClr val="bg1"/>
                </a:solidFill>
                <a:latin typeface="Arial Rounded MT Bold" panose="020F0704030504030204" pitchFamily="34" charset="0"/>
              </a:rPr>
              <a:t>Total</a:t>
            </a:r>
            <a:r>
              <a:rPr lang="en-US" sz="1600" baseline="0">
                <a:solidFill>
                  <a:schemeClr val="bg1"/>
                </a:solidFill>
                <a:latin typeface="Arial Rounded MT Bold" panose="020F0704030504030204" pitchFamily="34" charset="0"/>
              </a:rPr>
              <a:t> </a:t>
            </a:r>
            <a:r>
              <a:rPr lang="en-US" sz="1600" baseline="0">
                <a:solidFill>
                  <a:schemeClr val="tx1"/>
                </a:solidFill>
                <a:latin typeface="Arial Rounded MT Bold" panose="020F0704030504030204" pitchFamily="34" charset="0"/>
              </a:rPr>
              <a:t>Count</a:t>
            </a:r>
            <a:endParaRPr lang="en-US" sz="1600">
              <a:solidFill>
                <a:schemeClr val="tx1"/>
              </a:solidFill>
              <a:latin typeface="Arial Rounded MT Bold" panose="020F0704030504030204" pitchFamily="34" charset="0"/>
            </a:endParaRPr>
          </a:p>
        </xdr:txBody>
      </xdr:sp>
      <xdr:sp macro="" textlink="'Pivot Table'!P4">
        <xdr:nvSpPr>
          <xdr:cNvPr id="24" name="TextBox 23">
            <a:extLst>
              <a:ext uri="{FF2B5EF4-FFF2-40B4-BE49-F238E27FC236}">
                <a16:creationId xmlns:a16="http://schemas.microsoft.com/office/drawing/2014/main" id="{BE682B1D-1812-985C-762E-38ED2CDF7E2A}"/>
              </a:ext>
            </a:extLst>
          </xdr:cNvPr>
          <xdr:cNvSpPr txBox="1"/>
        </xdr:nvSpPr>
        <xdr:spPr>
          <a:xfrm>
            <a:off x="8488680" y="1173480"/>
            <a:ext cx="716280" cy="4572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D779A293-A92D-4630-90AA-82DD595F8785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marL="0" indent="0" algn="ctr"/>
              <a:t>8</a:t>
            </a:fld>
            <a:endParaRPr lang="en-US" sz="2800" b="1" i="0" u="none" strike="noStrike">
              <a:solidFill>
                <a:srgbClr val="121212"/>
              </a:solidFill>
              <a:latin typeface="Calibri"/>
              <a:ea typeface="Calibri"/>
              <a:cs typeface="Calibri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BE6977DE-F958-95E7-1E8D-5553DD2DBA3F}"/>
              </a:ext>
            </a:extLst>
          </xdr:cNvPr>
          <xdr:cNvSpPr txBox="1"/>
        </xdr:nvSpPr>
        <xdr:spPr>
          <a:xfrm>
            <a:off x="11201400" y="973454"/>
            <a:ext cx="147066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600">
                <a:solidFill>
                  <a:schemeClr val="bg1"/>
                </a:solidFill>
                <a:latin typeface="Arial Rounded MT Bold" panose="020F0704030504030204" pitchFamily="34" charset="0"/>
              </a:rPr>
              <a:t>Average </a:t>
            </a:r>
            <a:r>
              <a:rPr lang="en-US" sz="1600">
                <a:solidFill>
                  <a:schemeClr val="tx1"/>
                </a:solidFill>
                <a:latin typeface="Arial Rounded MT Bold" panose="020F0704030504030204" pitchFamily="34" charset="0"/>
              </a:rPr>
              <a:t>Age</a:t>
            </a:r>
          </a:p>
        </xdr:txBody>
      </xdr:sp>
      <xdr:sp macro="" textlink="'Pivot Table'!Q4">
        <xdr:nvSpPr>
          <xdr:cNvPr id="26" name="TextBox 25">
            <a:extLst>
              <a:ext uri="{FF2B5EF4-FFF2-40B4-BE49-F238E27FC236}">
                <a16:creationId xmlns:a16="http://schemas.microsoft.com/office/drawing/2014/main" id="{14D9B760-613A-DD3A-DC05-48A026CD849F}"/>
              </a:ext>
            </a:extLst>
          </xdr:cNvPr>
          <xdr:cNvSpPr txBox="1"/>
        </xdr:nvSpPr>
        <xdr:spPr>
          <a:xfrm>
            <a:off x="11544300" y="1173480"/>
            <a:ext cx="922020" cy="4114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3A4B28F2-BD59-498D-A73F-6E22EC7E90A1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marL="0" indent="0" algn="ctr"/>
              <a:t>15.0</a:t>
            </a:fld>
            <a:endPara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endParaRPr>
          </a:p>
        </xdr:txBody>
      </xdr:sp>
      <mc:AlternateContent xmlns:mc="http://schemas.openxmlformats.org/markup-compatibility/2006">
        <mc:Choice xmlns:cx4="http://schemas.microsoft.com/office/drawing/2016/5/10/chartex" Requires="cx4">
          <xdr:graphicFrame macro="">
            <xdr:nvGraphicFramePr>
              <xdr:cNvPr id="28" name="Chart 27">
                <a:extLst>
                  <a:ext uri="{FF2B5EF4-FFF2-40B4-BE49-F238E27FC236}">
                    <a16:creationId xmlns:a16="http://schemas.microsoft.com/office/drawing/2014/main" id="{243A512B-B9D1-4903-BB71-29EE94EF4D83}"/>
                  </a:ext>
                </a:extLst>
              </xdr:cNvPr>
              <xdr:cNvGraphicFramePr/>
            </xdr:nvGraphicFramePr>
            <xdr:xfrm>
              <a:off x="8404860" y="2324100"/>
              <a:ext cx="3992880" cy="3789045"/>
            </xdr:xfrm>
            <a:graphic>
              <a:graphicData uri="http://schemas.microsoft.com/office/drawing/2014/chartex">
                <cx:chart xmlns:cx="http://schemas.microsoft.com/office/drawing/2014/chartex" xmlns:r="http://schemas.openxmlformats.org/officeDocument/2006/relationships" r:id="rId10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404860" y="2324100"/>
                <a:ext cx="3992880" cy="378904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n-US" sz="1100"/>
                  <a:t>This chart isn't available in your version of Excel.
Editing this shape or saving this workbook into a different file format will permanently break the chart.</a:t>
                </a:r>
              </a:p>
            </xdr:txBody>
          </xdr:sp>
        </mc:Fallback>
      </mc:AlternateContent>
      <xdr:sp macro="" textlink="">
        <xdr:nvSpPr>
          <xdr:cNvPr id="37" name="TextBox 36">
            <a:extLst>
              <a:ext uri="{FF2B5EF4-FFF2-40B4-BE49-F238E27FC236}">
                <a16:creationId xmlns:a16="http://schemas.microsoft.com/office/drawing/2014/main" id="{DE2C2BA8-A1AA-9E09-8DC9-BE5B56C528F7}"/>
              </a:ext>
            </a:extLst>
          </xdr:cNvPr>
          <xdr:cNvSpPr txBox="1"/>
        </xdr:nvSpPr>
        <xdr:spPr>
          <a:xfrm>
            <a:off x="9281160" y="1945005"/>
            <a:ext cx="2270760" cy="3124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600" baseline="0">
                <a:solidFill>
                  <a:schemeClr val="bg1"/>
                </a:solidFill>
                <a:latin typeface="Arial Rounded MT Bold" panose="020F0704030504030204" pitchFamily="34" charset="0"/>
              </a:rPr>
              <a:t>Location </a:t>
            </a:r>
            <a:r>
              <a:rPr lang="en-US" sz="1600" baseline="0">
                <a:solidFill>
                  <a:schemeClr val="tx1"/>
                </a:solidFill>
                <a:latin typeface="Arial Rounded MT Bold" panose="020F0704030504030204" pitchFamily="34" charset="0"/>
              </a:rPr>
              <a:t>Breakdown</a:t>
            </a:r>
            <a:endParaRPr lang="en-US" sz="1600">
              <a:solidFill>
                <a:schemeClr val="tx1"/>
              </a:solidFill>
              <a:latin typeface="Arial Rounded MT Bold" panose="020F0704030504030204" pitchFamily="34" charset="0"/>
            </a:endParaRPr>
          </a:p>
        </xdr:txBody>
      </xdr:sp>
    </xdr:grp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" refreshedDate="46076.424223379632" backgroundQuery="1" createdVersion="8" refreshedVersion="8" minRefreshableVersion="3" recordCount="0" supportSubquery="1" supportAdvancedDrill="1" xr:uid="{C8E3FDEF-05C3-4E5C-95E8-BFB64F40CB3B}">
  <cacheSource type="external" connectionId="2"/>
  <cacheFields count="2">
    <cacheField name="[Table2_2].[Age Group].[Age Group]" caption="Age Group" numFmtId="0" hierarchy="5" level="1">
      <sharedItems count="2">
        <s v="10 to 15"/>
        <s v="16 to 20"/>
      </sharedItems>
    </cacheField>
    <cacheField name="[Measures].[Count of Age Group]" caption="Count of Age Group" numFmtId="0" hierarchy="7" level="32767"/>
  </cacheFields>
  <cacheHierarchies count="13">
    <cacheHierarchy uniqueName="[Table2_2].[Name]" caption="Name" attribute="1" defaultMemberUniqueName="[Table2_2].[Name].[All]" allUniqueName="[Table2_2].[Name].[All]" dimensionUniqueName="[Table2_2]" displayFolder="" count="0" memberValueDatatype="130" unbalanced="0"/>
    <cacheHierarchy uniqueName="[Table2_2].[Address]" caption="Address" attribute="1" defaultMemberUniqueName="[Table2_2].[Address].[All]" allUniqueName="[Table2_2].[Address].[All]" dimensionUniqueName="[Table2_2]" displayFolder="" count="0" memberValueDatatype="130" unbalanced="0"/>
    <cacheHierarchy uniqueName="[Table2_2].[Age]" caption="Age" attribute="1" defaultMemberUniqueName="[Table2_2].[Age].[All]" allUniqueName="[Table2_2].[Age].[All]" dimensionUniqueName="[Table2_2]" displayFolder="" count="0" memberValueDatatype="20" unbalanced="0"/>
    <cacheHierarchy uniqueName="[Table2_2].[Gender]" caption="Gender" attribute="1" defaultMemberUniqueName="[Table2_2].[Gender].[All]" allUniqueName="[Table2_2].[Gender].[All]" dimensionUniqueName="[Table2_2]" displayFolder="" count="0" memberValueDatatype="130" unbalanced="0"/>
    <cacheHierarchy uniqueName="[Table2_2].[State]" caption="State" attribute="1" defaultMemberUniqueName="[Table2_2].[State].[All]" allUniqueName="[Table2_2].[State].[All]" dimensionUniqueName="[Table2_2]" displayFolder="" count="0" memberValueDatatype="130" unbalanced="0"/>
    <cacheHierarchy uniqueName="[Table2_2].[Age Group]" caption="Age Group" attribute="1" defaultMemberUniqueName="[Table2_2].[Age Group].[All]" allUniqueName="[Table2_2].[Age Group].[All]" dimensionUniqueName="[Table2_2]" displayFolder="" count="2" memberValueDatatype="130" unbalanced="0">
      <fieldsUsage count="2">
        <fieldUsage x="-1"/>
        <fieldUsage x="0"/>
      </fieldsUsage>
    </cacheHierarchy>
    <cacheHierarchy uniqueName="[Measures].[Count of Gender]" caption="Count of Gender" measure="1" displayFolder="" measureGroup="Table2_2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ge Group]" caption="Count of Age Group" measure="1" displayFolder="" measureGroup="Table2_2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tate]" caption="Count of State" measure="1" displayFolder="" measureGroup="Table2_2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Total Count]" caption="Total Count" measure="1" displayFolder="" measureGroup="Table2_2" count="0"/>
    <cacheHierarchy uniqueName="[Measures].[Average Age]" caption="Average Age" measure="1" displayFolder="" measureGroup="Table2_2" count="0"/>
    <cacheHierarchy uniqueName="[Measures].[__XL_Count Table2_2]" caption="__XL_Count Table2_2" measure="1" displayFolder="" measureGroup="Table2_2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e2_2" uniqueName="[Table2_2]" caption="Table2_2"/>
  </dimensions>
  <measureGroups count="1">
    <measureGroup name="Table2_2" caption="Table2_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" refreshedDate="46076.424224421295" backgroundQuery="1" createdVersion="8" refreshedVersion="8" minRefreshableVersion="3" recordCount="0" supportSubquery="1" supportAdvancedDrill="1" xr:uid="{E46AAD48-1FE0-4717-82A3-82B314B35079}">
  <cacheSource type="external" connectionId="2"/>
  <cacheFields count="2">
    <cacheField name="[Table2_2].[Gender].[Gender]" caption="Gender" numFmtId="0" hierarchy="3" level="1">
      <sharedItems count="2">
        <s v=" Female"/>
        <s v=" Male"/>
      </sharedItems>
    </cacheField>
    <cacheField name="[Measures].[Count of Gender]" caption="Count of Gender" numFmtId="0" hierarchy="6" level="32767"/>
  </cacheFields>
  <cacheHierarchies count="13">
    <cacheHierarchy uniqueName="[Table2_2].[Name]" caption="Name" attribute="1" defaultMemberUniqueName="[Table2_2].[Name].[All]" allUniqueName="[Table2_2].[Name].[All]" dimensionUniqueName="[Table2_2]" displayFolder="" count="0" memberValueDatatype="130" unbalanced="0"/>
    <cacheHierarchy uniqueName="[Table2_2].[Address]" caption="Address" attribute="1" defaultMemberUniqueName="[Table2_2].[Address].[All]" allUniqueName="[Table2_2].[Address].[All]" dimensionUniqueName="[Table2_2]" displayFolder="" count="0" memberValueDatatype="130" unbalanced="0"/>
    <cacheHierarchy uniqueName="[Table2_2].[Age]" caption="Age" attribute="1" defaultMemberUniqueName="[Table2_2].[Age].[All]" allUniqueName="[Table2_2].[Age].[All]" dimensionUniqueName="[Table2_2]" displayFolder="" count="0" memberValueDatatype="20" unbalanced="0"/>
    <cacheHierarchy uniqueName="[Table2_2].[Gender]" caption="Gender" attribute="1" defaultMemberUniqueName="[Table2_2].[Gender].[All]" allUniqueName="[Table2_2].[Gender].[All]" dimensionUniqueName="[Table2_2]" displayFolder="" count="2" memberValueDatatype="130" unbalanced="0">
      <fieldsUsage count="2">
        <fieldUsage x="-1"/>
        <fieldUsage x="0"/>
      </fieldsUsage>
    </cacheHierarchy>
    <cacheHierarchy uniqueName="[Table2_2].[State]" caption="State" attribute="1" defaultMemberUniqueName="[Table2_2].[State].[All]" allUniqueName="[Table2_2].[State].[All]" dimensionUniqueName="[Table2_2]" displayFolder="" count="0" memberValueDatatype="130" unbalanced="0"/>
    <cacheHierarchy uniqueName="[Table2_2].[Age Group]" caption="Age Group" attribute="1" defaultMemberUniqueName="[Table2_2].[Age Group].[All]" allUniqueName="[Table2_2].[Age Group].[All]" dimensionUniqueName="[Table2_2]" displayFolder="" count="0" memberValueDatatype="130" unbalanced="0"/>
    <cacheHierarchy uniqueName="[Measures].[Count of Gender]" caption="Count of Gender" measure="1" displayFolder="" measureGroup="Table2_2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ge Group]" caption="Count of Age Group" measure="1" displayFolder="" measureGroup="Table2_2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tate]" caption="Count of State" measure="1" displayFolder="" measureGroup="Table2_2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Total Count]" caption="Total Count" measure="1" displayFolder="" measureGroup="Table2_2" count="0"/>
    <cacheHierarchy uniqueName="[Measures].[Average Age]" caption="Average Age" measure="1" displayFolder="" measureGroup="Table2_2" count="0"/>
    <cacheHierarchy uniqueName="[Measures].[__XL_Count Table2_2]" caption="__XL_Count Table2_2" measure="1" displayFolder="" measureGroup="Table2_2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e2_2" uniqueName="[Table2_2]" caption="Table2_2"/>
  </dimensions>
  <measureGroups count="1">
    <measureGroup name="Table2_2" caption="Table2_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" refreshedDate="46076.424225578703" backgroundQuery="1" createdVersion="8" refreshedVersion="8" minRefreshableVersion="3" recordCount="0" supportSubquery="1" supportAdvancedDrill="1" xr:uid="{E7DA6204-210D-4942-8C89-0A247FA376E0}">
  <cacheSource type="external" connectionId="2"/>
  <cacheFields count="2">
    <cacheField name="[Table2_2].[State].[State]" caption="State" numFmtId="0" hierarchy="4" level="1">
      <sharedItems count="7">
        <s v="Abuja"/>
        <s v="Anambra"/>
        <s v="Delta"/>
        <s v="Enugu"/>
        <s v="Kaduna"/>
        <s v="Lagos"/>
        <s v="Ogun"/>
      </sharedItems>
    </cacheField>
    <cacheField name="[Measures].[Count of State]" caption="Count of State" numFmtId="0" hierarchy="8" level="32767"/>
  </cacheFields>
  <cacheHierarchies count="13">
    <cacheHierarchy uniqueName="[Table2_2].[Name]" caption="Name" attribute="1" defaultMemberUniqueName="[Table2_2].[Name].[All]" allUniqueName="[Table2_2].[Name].[All]" dimensionUniqueName="[Table2_2]" displayFolder="" count="0" memberValueDatatype="130" unbalanced="0"/>
    <cacheHierarchy uniqueName="[Table2_2].[Address]" caption="Address" attribute="1" defaultMemberUniqueName="[Table2_2].[Address].[All]" allUniqueName="[Table2_2].[Address].[All]" dimensionUniqueName="[Table2_2]" displayFolder="" count="0" memberValueDatatype="130" unbalanced="0"/>
    <cacheHierarchy uniqueName="[Table2_2].[Age]" caption="Age" attribute="1" defaultMemberUniqueName="[Table2_2].[Age].[All]" allUniqueName="[Table2_2].[Age].[All]" dimensionUniqueName="[Table2_2]" displayFolder="" count="0" memberValueDatatype="20" unbalanced="0"/>
    <cacheHierarchy uniqueName="[Table2_2].[Gender]" caption="Gender" attribute="1" defaultMemberUniqueName="[Table2_2].[Gender].[All]" allUniqueName="[Table2_2].[Gender].[All]" dimensionUniqueName="[Table2_2]" displayFolder="" count="0" memberValueDatatype="130" unbalanced="0"/>
    <cacheHierarchy uniqueName="[Table2_2].[State]" caption="State" attribute="1" defaultMemberUniqueName="[Table2_2].[State].[All]" allUniqueName="[Table2_2].[State].[All]" dimensionUniqueName="[Table2_2]" displayFolder="" count="2" memberValueDatatype="130" unbalanced="0">
      <fieldsUsage count="2">
        <fieldUsage x="-1"/>
        <fieldUsage x="0"/>
      </fieldsUsage>
    </cacheHierarchy>
    <cacheHierarchy uniqueName="[Table2_2].[Age Group]" caption="Age Group" attribute="1" defaultMemberUniqueName="[Table2_2].[Age Group].[All]" allUniqueName="[Table2_2].[Age Group].[All]" dimensionUniqueName="[Table2_2]" displayFolder="" count="0" memberValueDatatype="130" unbalanced="0"/>
    <cacheHierarchy uniqueName="[Measures].[Count of Gender]" caption="Count of Gender" measure="1" displayFolder="" measureGroup="Table2_2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ge Group]" caption="Count of Age Group" measure="1" displayFolder="" measureGroup="Table2_2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tate]" caption="Count of State" measure="1" displayFolder="" measureGroup="Table2_2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Total Count]" caption="Total Count" measure="1" displayFolder="" measureGroup="Table2_2" count="0"/>
    <cacheHierarchy uniqueName="[Measures].[Average Age]" caption="Average Age" measure="1" displayFolder="" measureGroup="Table2_2" count="0"/>
    <cacheHierarchy uniqueName="[Measures].[__XL_Count Table2_2]" caption="__XL_Count Table2_2" measure="1" displayFolder="" measureGroup="Table2_2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e2_2" uniqueName="[Table2_2]" caption="Table2_2"/>
  </dimensions>
  <measureGroups count="1">
    <measureGroup name="Table2_2" caption="Table2_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" refreshedDate="46076.425037962967" backgroundQuery="1" createdVersion="8" refreshedVersion="8" minRefreshableVersion="3" recordCount="0" supportSubquery="1" supportAdvancedDrill="1" xr:uid="{4A6C5C06-E65E-42E4-B399-03049017B22C}">
  <cacheSource type="external" connectionId="2"/>
  <cacheFields count="2">
    <cacheField name="[Measures].[Total Count]" caption="Total Count" numFmtId="0" hierarchy="9" level="32767"/>
    <cacheField name="[Measures].[Average Age]" caption="Average Age" numFmtId="0" hierarchy="10" level="32767"/>
  </cacheFields>
  <cacheHierarchies count="13">
    <cacheHierarchy uniqueName="[Table2_2].[Name]" caption="Name" attribute="1" defaultMemberUniqueName="[Table2_2].[Name].[All]" allUniqueName="[Table2_2].[Name].[All]" dimensionUniqueName="[Table2_2]" displayFolder="" count="0" memberValueDatatype="130" unbalanced="0"/>
    <cacheHierarchy uniqueName="[Table2_2].[Address]" caption="Address" attribute="1" defaultMemberUniqueName="[Table2_2].[Address].[All]" allUniqueName="[Table2_2].[Address].[All]" dimensionUniqueName="[Table2_2]" displayFolder="" count="0" memberValueDatatype="130" unbalanced="0"/>
    <cacheHierarchy uniqueName="[Table2_2].[Age]" caption="Age" attribute="1" defaultMemberUniqueName="[Table2_2].[Age].[All]" allUniqueName="[Table2_2].[Age].[All]" dimensionUniqueName="[Table2_2]" displayFolder="" count="0" memberValueDatatype="20" unbalanced="0"/>
    <cacheHierarchy uniqueName="[Table2_2].[Gender]" caption="Gender" attribute="1" defaultMemberUniqueName="[Table2_2].[Gender].[All]" allUniqueName="[Table2_2].[Gender].[All]" dimensionUniqueName="[Table2_2]" displayFolder="" count="0" memberValueDatatype="130" unbalanced="0"/>
    <cacheHierarchy uniqueName="[Table2_2].[State]" caption="State" attribute="1" defaultMemberUniqueName="[Table2_2].[State].[All]" allUniqueName="[Table2_2].[State].[All]" dimensionUniqueName="[Table2_2]" displayFolder="" count="0" memberValueDatatype="130" unbalanced="0"/>
    <cacheHierarchy uniqueName="[Table2_2].[Age Group]" caption="Age Group" attribute="1" defaultMemberUniqueName="[Table2_2].[Age Group].[All]" allUniqueName="[Table2_2].[Age Group].[All]" dimensionUniqueName="[Table2_2]" displayFolder="" count="2" memberValueDatatype="130" unbalanced="0"/>
    <cacheHierarchy uniqueName="[Measures].[Count of Gender]" caption="Count of Gender" measure="1" displayFolder="" measureGroup="Table2_2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ge Group]" caption="Count of Age Group" measure="1" displayFolder="" measureGroup="Table2_2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tate]" caption="Count of State" measure="1" displayFolder="" measureGroup="Table2_2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Total Count]" caption="Total Count" measure="1" displayFolder="" measureGroup="Table2_2" count="0" oneField="1">
      <fieldsUsage count="1">
        <fieldUsage x="0"/>
      </fieldsUsage>
    </cacheHierarchy>
    <cacheHierarchy uniqueName="[Measures].[Average Age]" caption="Average Age" measure="1" displayFolder="" measureGroup="Table2_2" count="0" oneField="1">
      <fieldsUsage count="1">
        <fieldUsage x="1"/>
      </fieldsUsage>
    </cacheHierarchy>
    <cacheHierarchy uniqueName="[Measures].[__XL_Count Table2_2]" caption="__XL_Count Table2_2" measure="1" displayFolder="" measureGroup="Table2_2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e2_2" uniqueName="[Table2_2]" caption="Table2_2"/>
  </dimensions>
  <measureGroups count="1">
    <measureGroup name="Table2_2" caption="Table2_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24AE63-347A-41D1-A447-8247A47D133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B6" firstHeaderRow="1" firstDataRow="1" firstDataCol="1"/>
  <pivotFields count="2">
    <pivotField axis="axisRow" allDrilled="1" showAll="0" dataSourceSort="1" defaultAttributeDrillState="1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Gender" fld="1" subtotal="count" baseField="0" baseItem="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5JumbledupCustomersDetails1-220823-192255%20(1) (version 1).xlsb!Table2_2">
        <x15:activeTabTopLevelEntity name="[Table2_2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921696-5A09-410F-9671-DF7E6897CB43}" name="PivotTable4" cacheId="3" applyNumberFormats="0" applyBorderFormats="0" applyFontFormats="0" applyPatternFormats="0" applyAlignmentFormats="0" applyWidthHeightFormats="1" dataCaption="Values" tag="4bd31361-38b4-448d-8e24-d9530b5e2488" updatedVersion="8" minRefreshableVersion="3" useAutoFormatting="1" itemPrintTitles="1" createdVersion="8" indent="0" multipleFieldFilters="0">
  <location ref="P3:Q4" firstHeaderRow="0" firstDataRow="1" firstDataCol="0"/>
  <pivotFields count="2">
    <pivotField dataField="1" showAll="0"/>
    <pivotField dataField="1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5JumbledupCustomersDetails1-220823-192255%20(1) (version 1).xlsb!Table2_2">
        <x15:activeTabTopLevelEntity name="[Table2_2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FAB53F-EFF1-4B40-9991-C7DACCB558B9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L3:M11" firstHeaderRow="1" firstDataRow="1" firstDataCol="1"/>
  <pivotFields count="2"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State" fld="1" subtotal="count" baseField="0" baseItem="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5JumbledupCustomersDetails1-220823-192255%20(1) (version 1).xlsb!Table2_2">
        <x15:activeTabTopLevelEntity name="[Table2_2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8A5D8A-E4A0-422A-95B7-ADCCE5981EE5}" name="PivotTable2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multipleFieldFilters="0">
  <location ref="G3:H6" firstHeaderRow="1" firstDataRow="1" firstDataCol="1"/>
  <pivotFields count="2">
    <pivotField axis="axisRow" allDrilled="1" showAll="0" dataSourceSort="1" defaultAttributeDrillState="1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Age Group" fld="1" subtotal="count" baseField="0" baseItem="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5JumbledupCustomersDetails1-220823-192255%20(1) (version 1).xlsb!Table2_2">
        <x15:activeTabTopLevelEntity name="[Table2_2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057EBCAC-4020-477A-899F-40AECF3543DB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Address" tableColumnId="2"/>
      <queryTableField id="3" name="Age" tableColumnId="3"/>
      <queryTableField id="4" name="Gender" tableColumnId="4"/>
      <queryTableField id="5" name="State" tableColumnId="5"/>
      <queryTableField id="6" name="Age Group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0917D3-4A0D-45C2-96AF-3D2DD7BBE1C7}" name="Table2_2" displayName="Table2_2" ref="B4:G12" tableType="queryTable" totalsRowShown="0">
  <autoFilter ref="B4:G12" xr:uid="{0F0917D3-4A0D-45C2-96AF-3D2DD7BBE1C7}"/>
  <tableColumns count="6">
    <tableColumn id="1" xr3:uid="{CA2D083D-A60C-4487-9792-56F9E86B2D6F}" uniqueName="1" name="Name" queryTableFieldId="1" dataDxfId="3"/>
    <tableColumn id="2" xr3:uid="{5B2EBE87-9F2E-41B3-A47B-F2F191B8E6E1}" uniqueName="2" name="Address" queryTableFieldId="2" dataDxfId="2"/>
    <tableColumn id="3" xr3:uid="{8CE6D33C-A05C-43B5-83BE-00F9DDB3695C}" uniqueName="3" name="Age" queryTableFieldId="3"/>
    <tableColumn id="4" xr3:uid="{8CFE19E0-C30A-4512-9BF8-91EF51AEBE42}" uniqueName="4" name="Gender" queryTableFieldId="4" dataDxfId="1"/>
    <tableColumn id="5" xr3:uid="{569DCD53-5532-4D43-A56B-6362FEF1B6A4}" uniqueName="5" name="State" queryTableFieldId="5" dataDxfId="0"/>
    <tableColumn id="6" xr3:uid="{D98B252D-2973-41EE-A805-3FCC1BD8F2CC}" uniqueName="6" name="Age Group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2305E-FEAF-489B-BCA4-5260F960F3C3}">
  <dimension ref="B3:B10"/>
  <sheetViews>
    <sheetView workbookViewId="0">
      <selection activeCell="I6" sqref="I6"/>
    </sheetView>
  </sheetViews>
  <sheetFormatPr defaultRowHeight="14.4" x14ac:dyDescent="0.3"/>
  <cols>
    <col min="1" max="1" width="14.6640625" customWidth="1"/>
    <col min="2" max="2" width="77.88671875" customWidth="1"/>
    <col min="3" max="3" width="19.21875" bestFit="1" customWidth="1"/>
  </cols>
  <sheetData>
    <row r="3" spans="2:2" x14ac:dyDescent="0.3">
      <c r="B3" t="s">
        <v>52</v>
      </c>
    </row>
    <row r="4" spans="2:2" x14ac:dyDescent="0.3">
      <c r="B4" t="s">
        <v>51</v>
      </c>
    </row>
    <row r="5" spans="2:2" x14ac:dyDescent="0.3">
      <c r="B5" t="s">
        <v>50</v>
      </c>
    </row>
    <row r="6" spans="2:2" x14ac:dyDescent="0.3">
      <c r="B6" t="s">
        <v>49</v>
      </c>
    </row>
    <row r="7" spans="2:2" x14ac:dyDescent="0.3">
      <c r="B7" t="s">
        <v>48</v>
      </c>
    </row>
    <row r="8" spans="2:2" x14ac:dyDescent="0.3">
      <c r="B8" t="s">
        <v>47</v>
      </c>
    </row>
    <row r="9" spans="2:2" x14ac:dyDescent="0.3">
      <c r="B9" t="s">
        <v>46</v>
      </c>
    </row>
    <row r="10" spans="2:2" x14ac:dyDescent="0.3">
      <c r="B10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BAC6-60B5-4F44-8158-0E4902226666}">
  <dimension ref="B4:G12"/>
  <sheetViews>
    <sheetView workbookViewId="0">
      <selection activeCell="B2" sqref="B2"/>
    </sheetView>
  </sheetViews>
  <sheetFormatPr defaultRowHeight="14.4" x14ac:dyDescent="0.3"/>
  <cols>
    <col min="1" max="1" width="19.6640625" bestFit="1" customWidth="1"/>
    <col min="2" max="2" width="20.44140625" customWidth="1"/>
    <col min="3" max="3" width="37.77734375" customWidth="1"/>
    <col min="4" max="4" width="9.33203125" bestFit="1" customWidth="1"/>
    <col min="5" max="5" width="11.21875" customWidth="1"/>
    <col min="6" max="6" width="12.109375" bestFit="1" customWidth="1"/>
    <col min="7" max="7" width="15.5546875" customWidth="1"/>
  </cols>
  <sheetData>
    <row r="4" spans="2:7" x14ac:dyDescent="0.3">
      <c r="B4" t="s">
        <v>0</v>
      </c>
      <c r="C4" t="s">
        <v>1</v>
      </c>
      <c r="D4" t="s">
        <v>2</v>
      </c>
      <c r="E4" t="s">
        <v>3</v>
      </c>
      <c r="F4" t="s">
        <v>29</v>
      </c>
      <c r="G4" t="s">
        <v>30</v>
      </c>
    </row>
    <row r="5" spans="2:7" x14ac:dyDescent="0.3">
      <c r="B5" t="s">
        <v>4</v>
      </c>
      <c r="C5" t="s">
        <v>5</v>
      </c>
      <c r="D5">
        <v>17</v>
      </c>
      <c r="E5" t="s">
        <v>6</v>
      </c>
      <c r="F5" t="s">
        <v>7</v>
      </c>
      <c r="G5" t="s">
        <v>31</v>
      </c>
    </row>
    <row r="6" spans="2:7" x14ac:dyDescent="0.3">
      <c r="B6" t="s">
        <v>8</v>
      </c>
      <c r="C6" t="s">
        <v>9</v>
      </c>
      <c r="D6">
        <v>16</v>
      </c>
      <c r="E6" t="s">
        <v>6</v>
      </c>
      <c r="F6" t="s">
        <v>7</v>
      </c>
      <c r="G6" t="s">
        <v>31</v>
      </c>
    </row>
    <row r="7" spans="2:7" x14ac:dyDescent="0.3">
      <c r="B7" t="s">
        <v>10</v>
      </c>
      <c r="C7" t="s">
        <v>11</v>
      </c>
      <c r="D7">
        <v>14</v>
      </c>
      <c r="E7" t="s">
        <v>6</v>
      </c>
      <c r="F7" t="s">
        <v>12</v>
      </c>
      <c r="G7" t="s">
        <v>32</v>
      </c>
    </row>
    <row r="8" spans="2:7" x14ac:dyDescent="0.3">
      <c r="B8" t="s">
        <v>13</v>
      </c>
      <c r="C8" t="s">
        <v>14</v>
      </c>
      <c r="D8">
        <v>16</v>
      </c>
      <c r="E8" t="s">
        <v>15</v>
      </c>
      <c r="F8" t="s">
        <v>26</v>
      </c>
      <c r="G8" t="s">
        <v>31</v>
      </c>
    </row>
    <row r="9" spans="2:7" x14ac:dyDescent="0.3">
      <c r="B9" t="s">
        <v>16</v>
      </c>
      <c r="C9" t="s">
        <v>17</v>
      </c>
      <c r="D9">
        <v>18</v>
      </c>
      <c r="E9" t="s">
        <v>15</v>
      </c>
      <c r="F9" t="s">
        <v>27</v>
      </c>
      <c r="G9" t="s">
        <v>31</v>
      </c>
    </row>
    <row r="10" spans="2:7" x14ac:dyDescent="0.3">
      <c r="B10" t="s">
        <v>18</v>
      </c>
      <c r="C10" t="s">
        <v>19</v>
      </c>
      <c r="D10">
        <v>14</v>
      </c>
      <c r="E10" t="s">
        <v>15</v>
      </c>
      <c r="F10" t="s">
        <v>20</v>
      </c>
      <c r="G10" t="s">
        <v>32</v>
      </c>
    </row>
    <row r="11" spans="2:7" x14ac:dyDescent="0.3">
      <c r="B11" t="s">
        <v>21</v>
      </c>
      <c r="C11" t="s">
        <v>22</v>
      </c>
      <c r="D11">
        <v>12</v>
      </c>
      <c r="E11" t="s">
        <v>15</v>
      </c>
      <c r="F11" t="s">
        <v>23</v>
      </c>
      <c r="G11" t="s">
        <v>32</v>
      </c>
    </row>
    <row r="12" spans="2:7" x14ac:dyDescent="0.3">
      <c r="B12" t="s">
        <v>24</v>
      </c>
      <c r="C12" t="s">
        <v>25</v>
      </c>
      <c r="D12">
        <v>13</v>
      </c>
      <c r="E12" t="s">
        <v>15</v>
      </c>
      <c r="F12" t="s">
        <v>28</v>
      </c>
      <c r="G12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34D8-CF84-4D8D-A1FB-62B7A0B3F8F6}">
  <dimension ref="A2:Q21"/>
  <sheetViews>
    <sheetView workbookViewId="0">
      <selection activeCell="H32" sqref="H32"/>
    </sheetView>
  </sheetViews>
  <sheetFormatPr defaultRowHeight="14.4" x14ac:dyDescent="0.3"/>
  <cols>
    <col min="1" max="1" width="12.5546875" bestFit="1" customWidth="1"/>
    <col min="2" max="2" width="15" bestFit="1" customWidth="1"/>
    <col min="6" max="6" width="8.88671875" customWidth="1"/>
    <col min="7" max="7" width="12.5546875" customWidth="1"/>
    <col min="8" max="8" width="17.88671875" bestFit="1" customWidth="1"/>
    <col min="10" max="10" width="6.44140625" customWidth="1"/>
    <col min="11" max="11" width="8.88671875" hidden="1" customWidth="1"/>
    <col min="12" max="12" width="12.5546875" bestFit="1" customWidth="1"/>
    <col min="13" max="13" width="27.6640625" customWidth="1"/>
    <col min="16" max="16" width="10.77734375" bestFit="1" customWidth="1"/>
    <col min="17" max="17" width="11.5546875" bestFit="1" customWidth="1"/>
  </cols>
  <sheetData>
    <row r="2" spans="1:17" ht="21" x14ac:dyDescent="0.4">
      <c r="A2" s="8" t="s">
        <v>40</v>
      </c>
      <c r="B2" s="9"/>
      <c r="G2" s="8" t="s">
        <v>41</v>
      </c>
      <c r="H2" s="8"/>
      <c r="L2" s="8" t="s">
        <v>42</v>
      </c>
      <c r="M2" s="8"/>
      <c r="P2" s="8" t="s">
        <v>43</v>
      </c>
      <c r="Q2" s="8"/>
    </row>
    <row r="3" spans="1:17" x14ac:dyDescent="0.3">
      <c r="A3" s="1" t="s">
        <v>33</v>
      </c>
      <c r="B3" t="s">
        <v>35</v>
      </c>
      <c r="G3" s="1" t="s">
        <v>33</v>
      </c>
      <c r="H3" t="s">
        <v>36</v>
      </c>
      <c r="L3" s="1" t="s">
        <v>33</v>
      </c>
      <c r="M3" t="s">
        <v>37</v>
      </c>
      <c r="P3" t="s">
        <v>38</v>
      </c>
      <c r="Q3" t="s">
        <v>39</v>
      </c>
    </row>
    <row r="4" spans="1:17" x14ac:dyDescent="0.3">
      <c r="A4" s="2" t="s">
        <v>15</v>
      </c>
      <c r="B4">
        <v>5</v>
      </c>
      <c r="G4" s="2" t="s">
        <v>32</v>
      </c>
      <c r="H4">
        <v>4</v>
      </c>
      <c r="L4" s="2" t="s">
        <v>12</v>
      </c>
      <c r="M4">
        <v>1</v>
      </c>
      <c r="P4" s="5">
        <v>8</v>
      </c>
      <c r="Q4" s="6">
        <v>15</v>
      </c>
    </row>
    <row r="5" spans="1:17" x14ac:dyDescent="0.3">
      <c r="A5" s="2" t="s">
        <v>6</v>
      </c>
      <c r="B5">
        <v>3</v>
      </c>
      <c r="G5" s="2" t="s">
        <v>31</v>
      </c>
      <c r="H5">
        <v>4</v>
      </c>
      <c r="L5" s="2" t="s">
        <v>28</v>
      </c>
      <c r="M5">
        <v>1</v>
      </c>
    </row>
    <row r="6" spans="1:17" x14ac:dyDescent="0.3">
      <c r="A6" s="2" t="s">
        <v>34</v>
      </c>
      <c r="B6">
        <v>8</v>
      </c>
      <c r="G6" s="2" t="s">
        <v>34</v>
      </c>
      <c r="H6">
        <v>8</v>
      </c>
      <c r="L6" s="2" t="s">
        <v>20</v>
      </c>
      <c r="M6">
        <v>1</v>
      </c>
    </row>
    <row r="7" spans="1:17" x14ac:dyDescent="0.3">
      <c r="L7" s="2" t="s">
        <v>23</v>
      </c>
      <c r="M7">
        <v>1</v>
      </c>
    </row>
    <row r="8" spans="1:17" x14ac:dyDescent="0.3">
      <c r="G8" t="str" cm="1">
        <f t="array" ref="G8:H10">G3:H5</f>
        <v>Row Labels</v>
      </c>
      <c r="H8" t="str">
        <v>Count of Age Group</v>
      </c>
      <c r="L8" s="2" t="s">
        <v>26</v>
      </c>
      <c r="M8">
        <v>1</v>
      </c>
    </row>
    <row r="9" spans="1:17" x14ac:dyDescent="0.3">
      <c r="A9" s="2" t="s">
        <v>15</v>
      </c>
      <c r="B9">
        <f>IFERROR(GETPIVOTDATA("[Measures].[Count of Gender]",$A$3,"[Table2_2].[Gender]","[Table2_2].[Gender].&amp;[ Female]"),"0")</f>
        <v>5</v>
      </c>
      <c r="C9" s="3">
        <f t="shared" ref="C9:C10" si="0">SUM(B9)/SUM($B$9:$B$10)</f>
        <v>0.625</v>
      </c>
      <c r="D9" s="4">
        <f>1-C9</f>
        <v>0.375</v>
      </c>
      <c r="G9" t="str">
        <v>10 to 15</v>
      </c>
      <c r="H9">
        <v>4</v>
      </c>
      <c r="L9" s="2" t="s">
        <v>7</v>
      </c>
      <c r="M9">
        <v>2</v>
      </c>
    </row>
    <row r="10" spans="1:17" x14ac:dyDescent="0.3">
      <c r="A10" s="2" t="s">
        <v>6</v>
      </c>
      <c r="B10">
        <f>IFERROR(GETPIVOTDATA("[Measures].[Count of Gender]",$A$3,"[Table2_2].[Gender]","[Table2_2].[Gender].&amp;[ Male]"),"0")</f>
        <v>3</v>
      </c>
      <c r="C10" s="3">
        <f t="shared" si="0"/>
        <v>0.375</v>
      </c>
      <c r="D10" s="4">
        <f>1-C10</f>
        <v>0.625</v>
      </c>
      <c r="G10" t="str">
        <v>16 to 20</v>
      </c>
      <c r="H10">
        <v>4</v>
      </c>
      <c r="L10" s="2" t="s">
        <v>27</v>
      </c>
      <c r="M10">
        <v>1</v>
      </c>
    </row>
    <row r="11" spans="1:17" x14ac:dyDescent="0.3">
      <c r="A11" s="2" t="s">
        <v>44</v>
      </c>
      <c r="B11">
        <f>SUM(B9:B10)</f>
        <v>8</v>
      </c>
      <c r="L11" s="2" t="s">
        <v>34</v>
      </c>
      <c r="M11">
        <v>8</v>
      </c>
    </row>
    <row r="14" spans="1:17" x14ac:dyDescent="0.3">
      <c r="L14" s="7" t="str" cm="1">
        <f t="array" ref="L14:M21">L3:M10</f>
        <v>Row Labels</v>
      </c>
      <c r="M14" s="7" t="str">
        <v>Count of State</v>
      </c>
    </row>
    <row r="15" spans="1:17" x14ac:dyDescent="0.3">
      <c r="L15" t="str">
        <v>Abuja</v>
      </c>
      <c r="M15">
        <v>1</v>
      </c>
    </row>
    <row r="16" spans="1:17" x14ac:dyDescent="0.3">
      <c r="L16" t="str">
        <v>Anambra</v>
      </c>
      <c r="M16">
        <v>1</v>
      </c>
    </row>
    <row r="17" spans="12:13" x14ac:dyDescent="0.3">
      <c r="L17" t="str">
        <v>Delta</v>
      </c>
      <c r="M17">
        <v>1</v>
      </c>
    </row>
    <row r="18" spans="12:13" x14ac:dyDescent="0.3">
      <c r="L18" t="str">
        <v>Enugu</v>
      </c>
      <c r="M18">
        <v>1</v>
      </c>
    </row>
    <row r="19" spans="12:13" x14ac:dyDescent="0.3">
      <c r="L19" t="str">
        <v>Kaduna</v>
      </c>
      <c r="M19">
        <v>1</v>
      </c>
    </row>
    <row r="20" spans="12:13" x14ac:dyDescent="0.3">
      <c r="L20" t="str">
        <v>Lagos</v>
      </c>
      <c r="M20">
        <v>2</v>
      </c>
    </row>
    <row r="21" spans="12:13" x14ac:dyDescent="0.3">
      <c r="L21" t="str">
        <v>Ogun</v>
      </c>
      <c r="M21">
        <v>1</v>
      </c>
    </row>
  </sheetData>
  <mergeCells count="4">
    <mergeCell ref="A2:B2"/>
    <mergeCell ref="G2:H2"/>
    <mergeCell ref="L2:M2"/>
    <mergeCell ref="P2:Q2"/>
  </mergeCells>
  <pageMargins left="0.7" right="0.7" top="0.75" bottom="0.75" header="0.3" footer="0.3"/>
  <pageSetup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195C5-4ED6-4E29-BB04-48DDE34374B5}">
  <dimension ref="A1"/>
  <sheetViews>
    <sheetView showGridLines="0" showRowColHeaders="0" tabSelected="1" topLeftCell="C4" zoomScaleNormal="100" workbookViewId="0">
      <selection activeCell="E38" sqref="E38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14A9D7C1-D43D-4E0E-B22B-8EBF9EEE94E9}">
  <ds:schemaRefs/>
</ds:datastoreItem>
</file>

<file path=customXml/itemProps2.xml><?xml version="1.0" encoding="utf-8"?>
<ds:datastoreItem xmlns:ds="http://schemas.openxmlformats.org/officeDocument/2006/customXml" ds:itemID="{36147D05-3DDC-4C0D-96A4-23AA6AA90228}">
  <ds:schemaRefs/>
</ds:datastoreItem>
</file>

<file path=customXml/itemProps3.xml><?xml version="1.0" encoding="utf-8"?>
<ds:datastoreItem xmlns:ds="http://schemas.openxmlformats.org/officeDocument/2006/customXml" ds:itemID="{1A63F349-4073-4388-8458-C486D024C1A7}">
  <ds:schemaRefs/>
</ds:datastoreItem>
</file>

<file path=customXml/itemProps4.xml><?xml version="1.0" encoding="utf-8"?>
<ds:datastoreItem xmlns:ds="http://schemas.openxmlformats.org/officeDocument/2006/customXml" ds:itemID="{D7B7BE3D-F570-470A-A194-D12D78803D39}">
  <ds:schemaRefs/>
</ds:datastoreItem>
</file>

<file path=customXml/itemProps5.xml><?xml version="1.0" encoding="utf-8"?>
<ds:datastoreItem xmlns:ds="http://schemas.openxmlformats.org/officeDocument/2006/customXml" ds:itemID="{32E5AB74-DEA7-47F8-9F6F-AB4ECD8DAA53}">
  <ds:schemaRefs/>
</ds:datastoreItem>
</file>

<file path=customXml/itemProps6.xml><?xml version="1.0" encoding="utf-8"?>
<ds:datastoreItem xmlns:ds="http://schemas.openxmlformats.org/officeDocument/2006/customXml" ds:itemID="{960CF063-FA02-4B44-BBB4-76E8A4436E76}">
  <ds:schemaRefs/>
</ds:datastoreItem>
</file>

<file path=customXml/itemProps7.xml><?xml version="1.0" encoding="utf-8"?>
<ds:datastoreItem xmlns:ds="http://schemas.openxmlformats.org/officeDocument/2006/customXml" ds:itemID="{7C58C915-5B74-41A3-B12A-115F1273B2F9}">
  <ds:schemaRefs/>
</ds:datastoreItem>
</file>

<file path=customXml/itemProps8.xml><?xml version="1.0" encoding="utf-8"?>
<ds:datastoreItem xmlns:ds="http://schemas.openxmlformats.org/officeDocument/2006/customXml" ds:itemID="{C14D4FE3-3559-4721-974E-212FF42EDC4D}">
  <ds:schemaRefs/>
</ds:datastoreItem>
</file>

<file path=customXml/itemProps9.xml><?xml version="1.0" encoding="utf-8"?>
<ds:datastoreItem xmlns:ds="http://schemas.openxmlformats.org/officeDocument/2006/customXml" ds:itemID="{B0A9119E-A5C0-4F2C-826C-4152EAE87307}">
  <ds:schemaRefs/>
</ds:datastoreItem>
</file>

<file path=customXml/itemProps10.xml><?xml version="1.0" encoding="utf-8"?>
<ds:datastoreItem xmlns:ds="http://schemas.openxmlformats.org/officeDocument/2006/customXml" ds:itemID="{02EA64AC-F39B-425F-B5A8-F7E550043CD1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452FBCF8-FFD5-4BE9-855B-696C10957F30}">
  <ds:schemaRefs/>
</ds:datastoreItem>
</file>

<file path=customXml/itemProps12.xml><?xml version="1.0" encoding="utf-8"?>
<ds:datastoreItem xmlns:ds="http://schemas.openxmlformats.org/officeDocument/2006/customXml" ds:itemID="{B25FB89B-500F-4D97-B030-6E472ADD619B}">
  <ds:schemaRefs/>
</ds:datastoreItem>
</file>

<file path=customXml/itemProps13.xml><?xml version="1.0" encoding="utf-8"?>
<ds:datastoreItem xmlns:ds="http://schemas.openxmlformats.org/officeDocument/2006/customXml" ds:itemID="{21127AC6-B4DF-470C-B342-5AF1605E1DD0}">
  <ds:schemaRefs/>
</ds:datastoreItem>
</file>

<file path=customXml/itemProps14.xml><?xml version="1.0" encoding="utf-8"?>
<ds:datastoreItem xmlns:ds="http://schemas.openxmlformats.org/officeDocument/2006/customXml" ds:itemID="{1522F0EF-8A8D-4D8F-B72E-819D7D29A851}">
  <ds:schemaRefs/>
</ds:datastoreItem>
</file>

<file path=customXml/itemProps15.xml><?xml version="1.0" encoding="utf-8"?>
<ds:datastoreItem xmlns:ds="http://schemas.openxmlformats.org/officeDocument/2006/customXml" ds:itemID="{82CC6256-F9A3-4E4F-AA19-4230410FB6BA}">
  <ds:schemaRefs/>
</ds:datastoreItem>
</file>

<file path=customXml/itemProps16.xml><?xml version="1.0" encoding="utf-8"?>
<ds:datastoreItem xmlns:ds="http://schemas.openxmlformats.org/officeDocument/2006/customXml" ds:itemID="{1D472624-165A-4CFE-A231-F9B0A0ACE2AA}">
  <ds:schemaRefs/>
</ds:datastoreItem>
</file>

<file path=customXml/itemProps17.xml><?xml version="1.0" encoding="utf-8"?>
<ds:datastoreItem xmlns:ds="http://schemas.openxmlformats.org/officeDocument/2006/customXml" ds:itemID="{2EFF512F-6E99-471E-AE39-71EA07AF6D63}">
  <ds:schemaRefs/>
</ds:datastoreItem>
</file>

<file path=customXml/itemProps18.xml><?xml version="1.0" encoding="utf-8"?>
<ds:datastoreItem xmlns:ds="http://schemas.openxmlformats.org/officeDocument/2006/customXml" ds:itemID="{DDA754C2-B3EF-4C5D-8097-34827718373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Dataset</vt:lpstr>
      <vt:lpstr>Clean Dataset</vt:lpstr>
      <vt:lpstr>Pivot 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Alex Chika</cp:lastModifiedBy>
  <dcterms:created xsi:type="dcterms:W3CDTF">2020-05-09T13:09:48Z</dcterms:created>
  <dcterms:modified xsi:type="dcterms:W3CDTF">2026-04-23T08:43:14Z</dcterms:modified>
</cp:coreProperties>
</file>