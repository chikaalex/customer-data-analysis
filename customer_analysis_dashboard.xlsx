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gif" ContentType="image/gi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LEX\OneDrive\Desktop\Excel Practice\"/>
    </mc:Choice>
  </mc:AlternateContent>
  <xr:revisionPtr revIDLastSave="0" documentId="13_ncr:1_{A88B87ED-3FEB-49E3-85EF-33E98805443D}" xr6:coauthVersionLast="47" xr6:coauthVersionMax="47" xr10:uidLastSave="{00000000-0000-0000-0000-000000000000}"/>
  <bookViews>
    <workbookView xWindow="-108" yWindow="-108" windowWidth="23256" windowHeight="12456" activeTab="1" xr2:uid="{DDC6DD95-419E-4220-96C3-4424372B3983}"/>
  </bookViews>
  <sheets>
    <sheet name="Dirty 5" sheetId="7" r:id="rId1"/>
    <sheet name="Clean Dataset" sheetId="4" r:id="rId2"/>
    <sheet name="Pivot Table" sheetId="5" r:id="rId3"/>
    <sheet name="Dashboard" sheetId="6" r:id="rId4"/>
  </sheets>
  <definedNames>
    <definedName name="_xlchart.v5.0" hidden="1">'Pivot Table'!$L$14</definedName>
    <definedName name="_xlchart.v5.1" hidden="1">'Pivot Table'!$L$15:$L$21</definedName>
    <definedName name="_xlchart.v5.2" hidden="1">'Pivot Table'!$M$14</definedName>
    <definedName name="_xlchart.v5.3" hidden="1">'Pivot Table'!$M$15:$M$21</definedName>
    <definedName name="_xlcn.WorksheetConnection_5JumbledupCustomersDetails1220823192255201version1.xlsbTable2_21" hidden="1">Table2_2[]</definedName>
    <definedName name="ExternalData_2" localSheetId="1" hidden="1">'Clean Dataset'!$B$4:$G$12</definedName>
  </definedNames>
  <calcPr calcId="191029"/>
  <pivotCaches>
    <pivotCache cacheId="0" r:id="rId5"/>
    <pivotCache cacheId="1" r:id="rId6"/>
    <pivotCache cacheId="2" r:id="rId7"/>
    <pivotCache cacheId="3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_2" name="Table2_2" connection="WorksheetConnection_5JumbledupCustomersDetails1-220823-192255%20(1) (version 1).xlsb!Table2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4" i="5" l="1" a="1"/>
  <c r="L14" i="5" s="1"/>
  <c r="G8" i="5" a="1"/>
  <c r="G8" i="5" s="1"/>
  <c r="B10" i="5"/>
  <c r="C10" i="5" s="1"/>
  <c r="D10" i="5" s="1"/>
  <c r="B9" i="5"/>
  <c r="C9" i="5" l="1"/>
  <c r="D9" i="5" s="1"/>
  <c r="B1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3A3D9E-3851-48EA-BD62-A7860DE037B9}" keepAlive="1" name="Query - Table2_1" description="Connection to the 'Table2_1' query in the workbook." type="5" refreshedVersion="8" background="1" saveData="1">
    <dbPr connection="Provider=Microsoft.Mashup.OleDb.1;Data Source=$Workbook$;Location=Table2_1;Extended Properties=&quot;&quot;" command="SELECT * FROM [Table2_1]"/>
  </connection>
  <connection id="2" xr16:uid="{C5374CE3-4733-47AB-BDEA-ED38949C0C6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8A1048A0-EA40-4538-8394-05509264B46F}" name="WorksheetConnection_5JumbledupCustomersDetails1-220823-192255%20(1) (version 1).xlsb!Table2_2" type="102" refreshedVersion="8" minRefreshableVersion="5">
    <extLst>
      <ext xmlns:x15="http://schemas.microsoft.com/office/spreadsheetml/2010/11/main" uri="{DE250136-89BD-433C-8126-D09CA5730AF9}">
        <x15:connection id="Table2_2" autoDelete="1">
          <x15:rangePr sourceName="_xlcn.WorksheetConnection_5JumbledupCustomersDetails1220823192255201version1.xlsbTable2_2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<sst xmlns="http://schemas.openxmlformats.org/spreadsheetml/2006/main" count="83" uniqueCount="53">
  <si>
    <t>Name</t>
  </si>
  <si>
    <t>Address</t>
  </si>
  <si>
    <t>Age</t>
  </si>
  <si>
    <t>Gender</t>
  </si>
  <si>
    <t xml:space="preserve"> Hussein Hakeem </t>
  </si>
  <si>
    <t xml:space="preserve"> Number 22 Fioye Crescent Surulere Lagos </t>
  </si>
  <si>
    <t xml:space="preserve"> Male</t>
  </si>
  <si>
    <t>Lagos</t>
  </si>
  <si>
    <t xml:space="preserve"> Arojoye Samuel </t>
  </si>
  <si>
    <t xml:space="preserve"> 11 Omolade Close Omole Estate Lagos </t>
  </si>
  <si>
    <t xml:space="preserve"> Alex Ezurum </t>
  </si>
  <si>
    <t xml:space="preserve"> 1 Adamu Lane, Abuja </t>
  </si>
  <si>
    <t>Abuja</t>
  </si>
  <si>
    <t xml:space="preserve"> Susan Nwaimo </t>
  </si>
  <si>
    <t xml:space="preserve"> Number 58 Yaba Street, Kaduna State  </t>
  </si>
  <si>
    <t xml:space="preserve"> Female</t>
  </si>
  <si>
    <t xml:space="preserve"> Ajao Opeyemi </t>
  </si>
  <si>
    <t xml:space="preserve"> No12 Olubunmi Street, Abeokuta </t>
  </si>
  <si>
    <t xml:space="preserve"> Banjoko Adebusola </t>
  </si>
  <si>
    <t xml:space="preserve"> 34 Ngige Street, Ugheli, Delta </t>
  </si>
  <si>
    <t>Delta</t>
  </si>
  <si>
    <t xml:space="preserve"> Muhammed Olabisi </t>
  </si>
  <si>
    <t xml:space="preserve"> 13, ICAN road, Enugu </t>
  </si>
  <si>
    <t>Enugu</t>
  </si>
  <si>
    <t xml:space="preserve"> Oluwagbemi Mojisola </t>
  </si>
  <si>
    <t xml:space="preserve"> ACCA Lane, Onitsha </t>
  </si>
  <si>
    <t>Kaduna</t>
  </si>
  <si>
    <t>Ogun</t>
  </si>
  <si>
    <t>Anambra</t>
  </si>
  <si>
    <t>State</t>
  </si>
  <si>
    <t>Age Group</t>
  </si>
  <si>
    <t>16 to 20</t>
  </si>
  <si>
    <t>10 to 15</t>
  </si>
  <si>
    <t>Row Labels</t>
  </si>
  <si>
    <t>Grand Total</t>
  </si>
  <si>
    <t>Count of Gender</t>
  </si>
  <si>
    <t>Count of Age Group</t>
  </si>
  <si>
    <t>Count of State</t>
  </si>
  <si>
    <t>Total Count</t>
  </si>
  <si>
    <t>Average Age</t>
  </si>
  <si>
    <t>Gender Distribution</t>
  </si>
  <si>
    <t>Age Distribution</t>
  </si>
  <si>
    <t>Location Breakdown by State</t>
  </si>
  <si>
    <t>Key Metric</t>
  </si>
  <si>
    <t>Total</t>
  </si>
  <si>
    <t>Name Oluwagbemi Mojisola Address ACCA Lane, Onitsha Age 13 Gender Female</t>
  </si>
  <si>
    <t>Name Muhammed Olabisi Address 13, ICAN road, Enugu Age 12 Gender Female</t>
  </si>
  <si>
    <t>Name Banjoko Adebusola Address 34 Ngige Street, Ugheli, Delta Age 14 Gender Female</t>
  </si>
  <si>
    <t>Name Ajao Opeyemi Address No12 Olubunmi Street, Abeokuta Age 18 Gender Female</t>
  </si>
  <si>
    <t>Name Susan Nwaimo Address Number 58 Yaba Street, Kaduna State  Age 16 Gender Female</t>
  </si>
  <si>
    <t>Name Alex Ezurum Address 1 Adamu Lane, Abuja Age 14 Gender Male</t>
  </si>
  <si>
    <t>Name Arojoye Samuel Address 11 Omolade Close Omole Estate Lagos Age 16 Gender Male</t>
  </si>
  <si>
    <t>Name Hussein Hakeem Address Number 22 Fioye Crescent Surulere Lagos Age 17 Gender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</si>
</sst>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2" fillId="0" borderId="0" xfId="1" applyNumberFormat="1" applyFon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" fillId="2" borderId="1" xfId="0" applyFont="1" applyFill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642238"/>
      <color rgb="FFFF9800"/>
      <color rgb="FFC28F0E"/>
      <color rgb="FF121212"/>
      <color rgb="FFBBDEFB"/>
      <color rgb="FF0D47A1"/>
      <color rgb="FF1877F2"/>
      <color rgb="FF5517F1"/>
      <color rgb="FF9020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425224910208595"/>
          <c:y val="1.8294999309296865E-2"/>
          <c:w val="0.67429706042207782"/>
          <c:h val="0.8901098108720623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42238"/>
              </a:solidFill>
              <a:ln w="19050">
                <a:solidFill>
                  <a:schemeClr val="accent1">
                    <a:shade val="1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21-4F65-92BA-2594F7B42C2C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21-4F65-92BA-2594F7B42C2C}"/>
              </c:ext>
            </c:extLst>
          </c:dPt>
          <c:val>
            <c:numRef>
              <c:f>'Pivot Table'!$C$9:$D$9</c:f>
              <c:numCache>
                <c:formatCode>0.0%</c:formatCode>
                <c:ptCount val="2"/>
                <c:pt idx="0">
                  <c:v>0.625</c:v>
                </c:pt>
                <c:pt idx="1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21-4F65-92BA-2594F7B42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72443099784938"/>
          <c:y val="9.1374269005847948E-3"/>
          <c:w val="0.68817149677310119"/>
          <c:h val="0.90842484239338539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121212"/>
              </a:solidFill>
              <a:ln w="19050">
                <a:solidFill>
                  <a:srgbClr val="642238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14-479D-BF2D-85D210116838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14-479D-BF2D-85D210116838}"/>
              </c:ext>
            </c:extLst>
          </c:dPt>
          <c:val>
            <c:numRef>
              <c:f>'Pivot Table'!$C$10:$D$10</c:f>
              <c:numCache>
                <c:formatCode>0.0%</c:formatCode>
                <c:ptCount val="2"/>
                <c:pt idx="0">
                  <c:v>0.375</c:v>
                </c:pt>
                <c:pt idx="1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14-479D-BF2D-85D210116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7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Table'!$H$8</c:f>
              <c:strCache>
                <c:ptCount val="1"/>
                <c:pt idx="0">
                  <c:v>Count of Age Group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426-4792-90B9-31FBF923CCE7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426-4792-90B9-31FBF923CC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Table'!$G$9:$G$10</c:f>
              <c:strCache>
                <c:ptCount val="2"/>
                <c:pt idx="0">
                  <c:v>10 to 15</c:v>
                </c:pt>
                <c:pt idx="1">
                  <c:v>16 to 20</c:v>
                </c:pt>
              </c:strCache>
            </c:strRef>
          </c:cat>
          <c:val>
            <c:numRef>
              <c:f>'Pivot Table'!$H$9:$H$10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26-4792-90B9-31FBF923C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4"/>
        <c:axId val="621864288"/>
        <c:axId val="621854568"/>
      </c:barChart>
      <c:catAx>
        <c:axId val="62186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854568"/>
        <c:crosses val="autoZero"/>
        <c:auto val="1"/>
        <c:lblAlgn val="ctr"/>
        <c:lblOffset val="100"/>
        <c:noMultiLvlLbl val="0"/>
      </c:catAx>
      <c:valAx>
        <c:axId val="621854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2186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BCAA8FA6-18A2-4870-B924-98FC1F56575E}">
          <cx:tx>
            <cx:txData>
              <cx:f>_xlchart.v5.2</cx:f>
              <cx:v>Count of State</cx:v>
            </cx:txData>
          </cx:tx>
          <cx:spPr>
            <a:ln>
              <a:noFill/>
            </a:ln>
          </cx:spPr>
          <cx:dataLabels>
            <cx:spPr>
              <a:noFill/>
              <a:ln>
                <a:noFill/>
              </a:ln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>
                    <a:solidFill>
                      <a:schemeClr val="tx1"/>
                    </a:solidFill>
                  </a:defRPr>
                </a:pPr>
                <a:endParaRPr lang="en-US" sz="1400" b="0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regionLabelLayout val="none"/>
            <cx:geography viewedRegionType="countryRegion" cultureLanguage="en-US" cultureRegion="US" attribution="Powered by Bing">
              <cx:geoCache provider="{E9337A44-BEBE-4D9F-B70C-5C5E7DAFC167}">
                <cx:binary>5Ftpc9w4kv0rHf15qcZFAJyYmYgFWaVb8iVb9heGLMkECJIgCYDXr98s+WjL0z2zPTEbMROrCB8S
CkUUEnj53svUn++XP903j3fjT0vbdP5P98tfftYh9H/65Rd/rx/bO3/UmvvRefcpHN279hf36ZO5
f/zlYbybTVf9QhBmv9zruzE8Lj//9c/wbtWju3D3d8G47mV8HNdXjz42wf+dsd8c+unuoTVdYXwY
zX3Af/n5vz/G+u7nnx67YML6Zu0f//Lzs5f8/NMvf/3zL7+7gN98yOe1/ebQ3zz/uordP3r886f/
zWf+qYFtCfEBls6PMiFlKjKZff6SP//UuK76MkyPGJUZyShBn7/I10df3bUw/bCYn16Hu/D49ee/
tSNPH+zu4WF89B4+z9O/z+c+28HnQ/cuduEQvgoi+Zefr0z1OBoIgPEu/zyUu8MnuTr+rZ3/m1DA
ZvwfBue/u7v24/gPj8cfiQ/BkmLKv8aHP4sPhC+lWDJMv8SHfY3D5/h8Wc8/G6Ifpv8QpR9G/6MC
VTw24V8YpvQoJYIijsRvXiN+hAUEicNLPn/9EKan1fyzQXo2+YcQPRv7jwrQrotV/HqYfwtUDjD7
R+5RmlKOMiq+RACA7DucE0cMM4gfTn+N32eE/3yPnlbzzwbo2eQfAvRs7D8qQOd3D7H7F14hjI6o
JCkl+MfQyJRSQlL0JTTZ11PxOTSf1/HPxub57B+C83zwPyo6F3eV81836l9yfQjPEMXs1yB8d33o
USoEQ4h9HQYW8f31eVrNPxuiZ5N/iNCzsX/rAP3e4r7nkc9e88Rm/vcAlx1xQDaa8q8Al/4AcIfA
CSy/Dv+Qgb7Rqt9fz2+zuG8Tny3+/5yn/T6H+8Z2i7twt3ti6b/F/39z9GtG+WHw75H9z/t1+vCX
nzHHnBBG4Ox/S02HN3p2E14A9X68i8/vwg+zH+98gLdDR5yKDGeMpBlnNIWAzo+HEXmUpizjQNxF
mgmecgDMzo1BP02iksIkgVMpMWWwGO/iYUgeUeAfcEmlkBniJP0mk164Zq1c923jvnz/UxfbF850
wcP7CvzzT/3n1x1WK0gm05RLnhEKORWAG3hpf3/3CrTY4eX/FZK5F75N9mLBpt2TqGOjOltpqgyz
Q1flaTaI8ynFqQ85nwf70nTG92cdX8eHrHeDueZBU1l0fJZKZB3bLQNK+30/yuETWuN6IzaftUXK
tvU6orpxStbd1qhxc/JdlF28nsbqtWahvSzjJu7LEm1kN1mEPyT10L0IfcDnLdPdfe1L/LKPg38Y
OxH9vuNIyxyhMpKrObYxt5iRuKsxq8sdmsq6O10rnLTHgx2RO6F0CeR4EPMwq22tm+6UpK1gipfV
mJ71Uxs/LBIPZYFHOm1XrJ/0aTkGRk/SAZFX2ovmji2B3bCy7W4l3vpVmVmjWqWrnEdlEBuSndlc
vAk93s5ciSsCY+UwqDoRM8pdt9RNvgxt1ylq12HeB+qkuSq16HhO1o663Zp0Q32q1+wsbdNxUEJX
warSssBUOnIWzzGyWygq7Zuo1kFn5k1rTfmOEz3sQIuPN172PlEVm5NHWeLsxFfImLwqk34ohtJs
PHfcfXKl6a0auet1vvZSnqRpU9uibLy+qfBWpQVvunBM26Fv843EtbsaZNLvmti22ct6WfTrzbbi
psRb8kEMOryuulq7vMnaCRa2pdaqROjQqISM8YRts88joe76IJSuEzryUPRtV2k1p7Edc5NiWeXU
4CGfORnO/NAlVqG2a2qlh2x7iUrpk6u5JmJHIyMXXSl6XlTlyl/AjV7mnK+ewkHL7PhxDLg9cbqf
yot15Am9iIKXl1uJa5qXLZu9YnLqWCF7llxYChdRzbwPQelsmCuVugZfbWaadw1C/YWNxlxDGGgs
tGl0p5Y64EyxVpKoxqyqrRKztu/tKpsdm+jY5W3a6Me5GdE+I6jcCcLNnG8ji3dVrMvrYWTVSbeV
1c4O1Ypy0bTxfePLCe9S2SZ4RxpiXpVUCn+aJGOwF4OtN7iMJXc5nE4hr7+X0c+g4d7162gq/cVE
+fbtX6/7x+51GB8fw+Vd/ySvfx17/u2v6vuAjN+k+A94+9wO+SODz5D6WUb6SkiesFYAlv4+Rn9L
ad9h+2HGF1xmR1wAvGYU1IQUBImvuExgQMJPMywORCg9ENmvuEyPwGXhB2RGgMLykCS+4DI7IgIR
CQYMgD2kZ5j1NQ09233ws34DmCHjPAdmioArs5RxeB5GAnLEc2AWjSesjqVqptr0y/GKADoUJQ5l
p1uDVnnVi6ozapmM1ZcxiBAKGprRn9bVIm0+9hwgZSF8fCMiIHbR27marzOX6kolqRmIUVUckDwD
eO1qOMyEkMbBDItogX2/aTW0KDF7S8RYn4iV1Wneo9rxS9Z5ADPIRYlTo0ExVW1IVqwchwyWT0st
arUk2HWKAxNdlG+cDSp6Sy9ZqpMPW2J4qoY4o0alqVgvmc+qD7Y2tM5pS9Yp73jbw/u1rJwVm61p
lJWV6E9YEnSrmJ3bLa9LUpucznU2FitfwqB0LeaggtED3dOJO77jyPQuTwbL1xPWseY2E5ZcMc0c
3oWqqa7HLWR3Gsv01lVBPvQlycbcr2k0So9+smqNEfPbksAj31V4CKmq2by0lysBnDubJ9tMqnOk
FEVMEZOnrOlW95puNaDb1m8z2VmxZT4XvZAbJCVdalWnUb51zlP8OnU6bpdpPcaLjJdygRgmTd8p
4+N21gzl4K+9L1FzSuoog+o5seeEQyJTzs/LbVeVMu6HTGpAtGnpyrdO1xPbz1mi2xNf6pGqig81
3Q3GDx/HtXNYbYMU95p3pc4RWdnbuU3De2RCku5wY8NxlEM/5Lrv5L0vnRuLejazPx43m845wq1j
qpNpi5SU1Xhep2kyK8zjmu7Hmos1t8z4RqGVT0IBN6EiXzAs6zj1fJnUOER/ElySPOgpMbNaZmPO
cen1qyQY/wkzdhNMBZlJe4xI3gTZ96qppXkdZ9cZ2CA77JsGLzRPtnFMFN8IfUfcYrGyDLWrEmua
vopsqoma6oiq3Ohm69XU8CxRJZk9UWFpl9ul4xRBNo7dPQmJGXNJIWuojafby6HhKawNP5EiyNGd
arppsznN0PioSVvel3PbXQNRwx8N2upm7yu3zCqKoZsKPpWphb/N/EHCzR8UioiMxyUwlV6ZNaNO
xaXb7liS9tcTTWOlhmFcNmUnJ0OBxjLNlNSD25QmpnZnJIzUA8EgDvJ46umsUDmvSBGz4e22sVV5
386YieO+daQ7T2Wseji6be9fdxVhuhBlZoyaArEvcJ2SV+Xa2wucbKEs9GjRwzBMZNtXhi+t8lMt
b+u04i8DD9mtE6Lp1NRjYU5dQ4M71XPTXg+NQ1a1DSkZXDlR93kWZPVI/Iogf46DRDA4byT3g1xb
lVI3V3m5LM3NrCudAZTpLd7Urqnex/oQn6ypDVNrwBIVfJ0B+hbTEKwavrhGAcUcAKRwNVxmsm5v
EIGn7UpRr2+3dab6emr9yOEc8mhfjQsby4KihAOfkVt1woAbzcec8DTsqpEvzS6t53HN4+BYVdCk
aeFCDXxEqjOsMSor28orG0VGVJJF2hesw21b9FOt0R7Is46qcvbw6TKTuCJhbhrg807m0ieEMuUw
z6zCm+zLQo605PtVJNP7BAn3vmUD0IZ5TvpJJQOp5iIshm6qiXKt4e8qLIoLz68b380fvQzjeb9U
wJirLO2Csmu/9IUHqfEKDuyCd2vZNhnQPabnnVkH3hQmBdJR9HDhgGfSLcx5ySLt8pXLet4J0ff6
utRIn4422k1tRFSvzNBOQS3lFvcdGQCTBwYhkGuTtKqtBg/sfOOdOw9tU7dqWOsq7hjkoKjsltbt
XpZtyHYcqPEHIwc4FNFUS5eHIROvfJmUm0p7rnnRBMh3cKwX894YZGI++g7JIoOr9oYxHrzaSurO
ypZgv7OVTOu8Yn0ZFKApQgpyRhyB9pJUqpC0oYJL2iRD0VTOeOVq0r41XpddIQJKsQIpgtccLah/
S4zLknyMFg7fZFCn86Zr0/c6aFvlDbDhYuT1pncD7nWvMBglD0tmEDBwhOv3Mi056k6BOabz/Lbk
LVxoxfWIH+bQdldx24xVBG/iNPW2nY5LQ+yneiHNVbrw9IYkZnvfRDLe6wSwMF+d4w/Yx6RUq0Po
7eLqbFXUj+4Tq1J9vGzCnTd42z4YTOJlVuLBKV06mql+qEdXDENjbG4Gh1+tYcPveFoDk26Fs5ma
YfZtOdDZKZaR7ZU1yfbJJmE6wwJgIB8NC8dzU28x15PIrhlpzapqhHCqppEMWqFBu0kFPeHTNAo4
M3G2HKARLo1RZZwnChdl4m9slSCb27EUk2pKFoY9q6s+FmwZ51ZNqUWXuhn0vV8SK9Uy9JTladOs
8mVFN9zk3nBKrzwUEKs8qeS8WqDWXZthyPGToXc2Q0HDxC3geD6Tql1ebFubLr0ifI7yosrwZC94
lUw1ZJZlK7s3vDHBFrOsGZwBK5byJNpkRLPKqhbh0zVJG/RyXAeJc8HGpi2Q4FlXWE77S+kG2Zx3
QfNRia3G90JW8/yA17UaLlxTNkkBCNwCMjVZNMU625IeZq5b3qyafqyapJ5zitbWlwBFrAzFEE1Z
FtsSUHnq4xr1O76FhO184rv6TVinzhVNWaP6pDRzxY3igPIY5MMKG5MFskLYNz+VHyJjnu7Q3GXs
xEUnhVNT1kxMAnA12dDtxzSd0ONgAcZUIqESeLzyOpm3YspSFmYFuoLJi8yEcv0UsgXZKw8AMYIE
beV4aWzlxssS2To71ZnFW7prgVssc7GhDjV7PfdRnFe2plXOtspVF2RiTfXRjcmYFTosCMJUp23I
DSthoUTHcj5ZysjootqlouwhLiE2Z5WdVvsCHBG05SPQ6eS480NAZ2W/TkOOVji7J82QDHw/oM02
ORxTR3O6cYPfenAGzHE1CKDCcJDT5UZOdSdVl6azAZFNhkG8z2aMb5cyWchxK2P5CUVJ+XFna74C
StiVqLZEINrJBoe5CCD7w14OkwgnXTPa9RT23MZ8RZPxOR/rIVzXADzNua5JfEyARl/KpRQfRLci
scdytWaPR+/JMZVTtu7mznQk3wQut9ylHGT0tgkjYdMmd9WDgqW7NWLUgwZPq+oigQ/W5CKheFUS
qPaixl4MHwETTNynE0h5QBVkWF7ReZLXQUS45lg24BQwoB0DsLVYUcjvZIg7ziX6NFBkgcFnBkwG
breB7ngkA1Gu07YsOBZLAxxkCs0xEAQ2qiFd4L6VWQqo10PevGGZyeC/lA1vHAM2vY+rCGk+zjPz
eVvihe96YepX/bjqTx3htc2bicdWZQtbz0NftoPyQKlD4TrBKuVGH53yA58zEMstl2dYV7DFo0D6
XYJ70eeRVxblgY51m3dptEBVBov0CxrHKp52qTML0Ns1unM2N0OtVl2uLt/mpO5Ostn1IrddvTE1
xWi7y2EZuVaukQM5t5lbG9i8MdG7KYrJ5LXDc1IkYE1hMFe4TXfMbVLnFt6sKVAcdJkHNlqv6n7t
Yl7NfhXFXOt5Vchn8/2UbA2waK/dY9WbJtsNJVg2H/umZ+tYDFUC4mL1pt+KjWPvtnxwYpIxp1Xg
o1VuCnEZ1JaKHk97kB1Z2hQirUhaqm6hSblbVxpIbm0nxLUEzC/Pti7U45UY26V+J9J5iWXejbTG
fT4C+WdvgHrWFAjC2Ldhy/+4M3D5tWfjuQ3wJHB/9Qj+Tf2DZ7WGZ/7BZ6f3YK7+voug7tbHxt/9
rtN7mP3ZUeBg3QvwUeEPQeCqcvDmPzu96REFunAw9sEgyID6Qe3ri6NwGMo4OMNQeAbLAUqb/yJH
AcTRj44CAbuDAAZAhRQLImDh31u93xwFhIZeXoitIQA5SRt9sXrf8V2ZyQlkEsHGnGxxDW8oYE6i
wGxgm8JtWq/7qmvZezjF8ztIqf2nsWymvPFJPJaQtdIcg9S8bPGK7XEYmpQoYzh4Ac3U9tAMAjV3
VY9T3HasntpjApwifdXzzYEhsbCAdrUQ8YZNQwDrbQY6BMAN2nte5ADEHsVt3G0Ubfddxt3F0GAe
cpzI9kQMC+CjoWsD3qqlui3ouvabMj3L7iocpVV0NVObl6Kd3W4LrtrDQ4abJIKIBvU+3mZJAqkX
3EiygIuw9m8EkN9EmXLZQPlV5ezP5lbToBqZ6bt56LQDNTZMD63rba04CRTBD+rptvHZeN8Fmi3F
oh15bY0EuhutBxOQUTrBJe0yPykiS1BxzGbZJ23H9krUnD4SvVzrZtH1jvAW5GtWBTKrcvJBgwNM
6Vu9pmRTkmwZeIFjVe221SZg11I51rsVj9NwTmJW+YtOp3I/Dpukt6PrW1LgSU9kl1az2Xk6ouRu
A5Z1D9EwcreyxYSTiSXvbTWOJ2tzQSo1Y2AdF8EuuvjjePIfihSH6sjvI8VrZ11wvwsUh8lfgUJC
nxuG0gv4ehLJFO78Z6BgR5jhFLpLKFRkQI5mYFf+Y+sR4yOYA47lwdAkDBH6R6xH8lTz+a4mBG8k
DvwL6ksyJZSn6AegAFci0xXZZQmaITvOtjsBLXfRd+XyztGtPDd8cHfdrJN7uDbdBXza9eOMUXYV
OZb5qMG9EHNjPRQTLH4zAhk4K8GVO+G6TT/xrUSTYumAr0WDIS2KUJ5xsDzOKzetpzPwov2aTOv7
JFK9a2pKPgwOWDIppys3kSZPpJvKoo2rUavgEhyoYX2IHPkqd5sFJYtoJc8qV+qqSAdfvhiJq14i
jYzbzVg3TIkF8mUu0CLP5xZSeuHTPhl3Pfh4VR5QL90+SypgISWQ6bMpupEpPEsc1bYtGEj0DErj
PeUdrnMwSYdE1Rmy7yIWbjo2YeMHxtGiF2A2lUvu2g6EMBqxSQpT8vDWOxzHs7Vaal+IuEkDsGin
N9IyDgwJN+L1WENBVFUgDG4a0TC9l74RDyCiQ6a6zuO4T8hGXq5DBVUFC9RB7ii4gnrfJcs6KgmW
y5tAS/emJsBBz8cyijSfSdshVdflbK4qZgWgsTDlI48+vIFqyD4xdlESdOGrJjGk+bhqAZbHJDb0
ZlpLMLuSjYXcQZXkjV6qrlJU4Hbn7Ly8GED8n9llMb0C9UbX3egYEHvLtotl9tnllPBlt7FhykNi
/bXDWxl2mmQAuoBf8ZFnxlNQH2P3aYqLf6WzJMvyJTGlPf5HKoeJst/2UnBWu92Ih3q52qA0Jy58
63G9X8yi+wtKeqCWbWr7bfe97BloPW7wGQ4FoNK066JA4mRV0WHTDyrgZsNVrnWw7vyLHMo2k+3I
3Lm10MtS+lM3xtSfTjNlcdcf8PlGopmobpqGN6mrBnzamRa982Km7s5AvuB5Nmk8FJDW0leMeAy4
P0ytImNYL6cBccUaZE/mzKed2hLLZkWaiqZq4RQqYkOyIHJRt345WdrQXeKRi9O1GcVxLaIGXR+G
Wy+i8OpQzL1N1tLe2irrr+c52LeZbTTfd01CYj6DJrrwZdDXKXhRYOSsgzc58JvFFHVaGqcs7jlW
HVjhcKa0PaUjaI1Q6gXMUuJBICVN4LvFy3pVoVo1lBmqkBaZXtnJ4p2A+oT27DUbOT6jjaMPcZy3
a2NqqPAmmVvuezjLD2MZoMbHGjyClAOH3OzB09WNCmAEVTvO7FqksLu5WAE1ixUNaDilouWnUGhM
zyaB+aFix9mxZaW5NQ5U3FlGI3CTKUX+1cqcSxSVoQNTtdXJ9Swa9/j/Jqmxv5vUnnUefldI+0Kd
v8tpggtGQWxAnYhhgqHR4GtOg3QCrQrQ2c0ZcM9DCe5LTuNHKdTJCDQ/QPrCCB0S4ZdyWnqEMLwU
gfsCbcsZS/9QTsPpgdw+y2mQTgE+WQqVVgk0/UCOv+tzoODKeTbA6fa4vaIH2gVJC26WI3OYVGX6
Gc7bE0uzULQBn/FA3sYNl0thD5QOyvzTbfrE85onzgdG0vTguhSYYA/X5m564oe9nlZ/Vj/xRuqb
BMrwBzoZLFwqVT6xzA2H281KYJ4b5NGbjsVqn31mpgMHlpqAYWGhKaEt7wzU9PHOdGW4qEgiRF72
GAHJHTOwhaCUbS/cxMAS1mPVd8fgxJSXCTjikBcBB3W+eLLJHV4tmGNrSmVUOD2o/A1aYE5tPyVu
NyUSnbm64aRo26kelY9ZS3YI0nWXz5PJ8HGZbnY8DjYZXqbQlgKGq+8E2ZOqXmCbmn69JbPzXmHw
g/B+Je5gD3fRs+sFqms4J0noH6tVTGPedusMW16uUOVOQAoVOO2WchcH895Tki25D6XJFO/aeILA
UlqUq6DgVCBnQd0OHOyYHZgkdNvJymRz3llw96EhoUmi8ul6O6TJBnaBzZL+QkcrDkiKO33cuzXp
i2QNYPwxsak42f7T7Afjim2uYe29FgO9CpWT4Dxmus993aFTcRAMt7Ca+ZW3ZLsHUk7Pl2qA4uMU
ffe+8gRfkmH0W76FEYr+NNHTmwF6FWo1VRl/3R+I+Y6QXrxHOgunVeTsXC8zn45BjYmHukQfXdm0
kLc4nQtqOe6LAUzHId9WKirwhcLwsTNZ06ua1+llI5iF4iCUrz+s0Pggzj24rubKA0p/smn0dO/6
LetOuBcHfyTLIgZnpC9fN3Ij7ngwiQzAzzQMgo1AX/ZctFB5scydfrYbVrdxnadpJ8AE2ZYa5N+M
hQZb1yT2VEJdp8stCuBtVU9SJDuokuxJoMgnsYKfhEv1JGIwyBl+0DX/f7CW/j0BsbMmmN/VDwzm
ftYP6RG0GHCgJAIwN2OMfjMa2JHkFPQEh3wIvV0IwcgXrJVHGIM4yKDTS0CDe8qgoeAL1oojAkoa
GhcEdKdlqUB/DGv5oTXhO6wl0KDIKRghGRRXKIEehudY6+dIWxazvPN6PS8tVOAlUEOg0IF2uxLS
R6cQ/LIK1PDWEfoIBI97qPf7U12h+daEll7RrsEvwaYgH2U1Pc51AqS2JFDwbELZf1rJIPcO10Ph
h00XnNqbhPuxUcKzy2woEyi94seVoJcT5ugC+GG84zHFu8kN6y0YH1BvCpn8YGO58DxWaf9STz07
sXpLjjNw0i4qYdEO8VXu1xVrXcxkno6l7pe8jKi87ZjjUB5pkgkalrK2U2MbTU5atIE/We42DeUC
0c/XUF6D7qtttJdcTpe83R4mjx+gU20GpFvYCbQPDKeoB7LUb9ugKLTQ7XqK5jyT4BDOeGje1ran
Vys3ycWWgQpSttugiGVsmrMu8YtaeXKa4umhqddlH4IeoBlj6vklNIR0ezGVNJ5CXcac0YT1RVoN
d94YMIqzrL8Zx4s606/KNrLTMnX+PW+4/9AtUkDvW7sW4GlAN1fixUupk3DTRt5Do0c3v1lIEHPe
ztZeLn0CZHGAOoyafQPFUoK6c98HczqZcXqPoT6pamPZzoJAsyqydrxgUxIucdWPaVE3Ae863KBj
jQ8VHN+tOW3IGXWiP0ax/wAvypTGYyyqinQ7F9b2yvnRvy9HL6G4AnVBz31ytoT2w+Kkt6ryTdPu
+wTqhhOk+BMkEoh21ROow2Jx6RoX9E7rbILa+lTTm3qUUz5nfU3VPESqhg2krm4kftlozKG6Quv+
xI4aF81i67dWL9uLbnObU0i6F8sGlZfSQp8eKCAvQc204rq27BaqrtAXqKsUGvqMuOIOqmpjP5qb
VtTd+dIm24ulHvOq6lMobuuyPVs2UhUD1+txgth13zkOXfvgRnxpoX3WZPTNk/3cDPrt23/XFq/f
tWgleKZQs/97qPnDry/9ylG/zf2MmuKIQndGmkngm2C+gNHylaGCcQtDLBPg2RICLUnfM1SJwKiB
RUj4pRKgjb+iJqAw/E4XNNBmmEBnD4DwH+j3Av/1b0CTAixLIUBfEZH+D3ln1h0nrn79T0QvgSQE
ly9Q1GSXZyfODcsZLGYQgyT49P+N00kP53S/q2/73HVWx45dLqTn2fu3t/88oJa1bfJ54HFTH/hY
wEcJmdSJwyf1zW9ruc8WEj6peqpOEE6d2zUHthnS8q5t8yXqe/+RWbfB5OeXecxy2EYghfGW7kEo
ReU6PMkWz5bK1XDCUdEBDQvC8TxNGIUiOoNogk2j8/06N+SSOyR46HTXpQ5sTXebjpobZ+Jv8NLz
z6Ik1QtmLBLXTeWdt1X7SGtnPWSuW+7GUI27ojZw48zq7HADAQWGdb7LhfYOPfirHY4V6MymwJdn
24B8ljnwM1Pwz1KP6zfWDTi4oKY/uraDBrWxq1G9Ens1lT45L6GUR8ItTUWnxyudzVMy8bCM55Co
WFWV3QEokg9sWbod5bbFY1f5IxCVLtx1be8e6Ojg6mkY+ziUPWQlrmeQP8MUkTYUeRR0uZRRwdvx
RrrhfFMAL7qp8Dg+tFBivsBsupmCgOHbI/Wh6ocQCN5IYuhHsM11NcpIDEChVMPZ1Vwwnsqyxx8N
Rq7aDN4xb4bmo/Q9jL0WrHE4WZ42oR2uDFEsMoHpYj+r2ipq5awxcWlxCFjDTwOGz+cywADp0WV8
wh7NXvN2BuulKrr3M5N/gYhuOPYCPz95wBoSXI7LOe/83kSi6tZrGmRVFnGHg0IKOkCmsIHVjjRG
tFDAsmLfVb23pyJjpzav8+Xa5Ho6V4r7Hwch1WffDsNu6FPpAKSNTb9OO1fjNJ3Lvjr2RdEcdetC
adOzfJiWwamSACkh6ET5Ot0Eau3TfM2Dw2xUmfCi4zu7OPKpKIAzVFBR8A5c+YfQMcVhWkyXaBgq
B0hq842rBMDtyU5nUdfDV886zmnlcv6K7WNsIzEpm/rtzA8D5px73NjOvssq75509XQYRKVOgw2h
vDtwG2OYwmER/fuP1l9zDvRvR9I/BHN+O1p/97HfD1f2C+UE3pYf+viPTUD+cbh6v2Dc3NIsjENN
9v1NGPi5/uOvb0k9H7CrcCEO/BxJfaQcQmz+mGVDj8Hm+Uenq48D/I8T6Uby4gxnPiZdDon8jxPp
5PTG0qCIFScgTUBBzde4w50imqicq13PTXDMpLmivZIs9uHy3JhRqmXHoGofsBSRC4zk6opP2Zzq
cipg1WYhrGmcKhCqsJmSBpBHTfEm1nhTRuEQtqCnOFDBe0MGVd7TDLTjE2ktDtSyNF6sdcau65LY
PLJUQB9t2nXLWICgOvVVOL5MdrBYzuRgL47rm4dwDjA5t8XM5x0MSLJEtQLuES9Gz0ldW2eK57Hp
8me25kAmDPbfJWlhNdywbMUDMpHuq5bUEXE+A7bAM0dKbMuFX7+FgzrPfbnQq2XOxuVxdEzY3vze
yiZdZ4K4GVTjX3Lsm/Sy6sDOMRg7p9r3mtPhY92HZbMH1eCby//O8wVN6689o2Pz14YRxUf+GF0Y
aPAAzwmhcJffB5Tv4to2uoQE8wkTMJ+Z5+Jjfn26+C/g2kG3E8oQQGLvGPtPcQ1xJI7nlIJhZwSx
zH80u/D/XPjw8At8aVgfkZUgf1r4Zkv8ogh4DE/RA5jQ5zvGQ5PmuQ4irw8BMmHcv2a48g8d0W4J
znWwJxhZ+Uea9TzOzAqPtM28BynIlC6VRIgHoPNoMuAjIfBn4Ksq0cz0sXYYmKW8qODLtPMtvr12
X7nzK0Cg9iMxmp1k0+k08Eqx2xSxQ+lRtYO08gImc4IT7A2Hhof9Bwe+fDJoxz37ovWeOp0PaWDo
szvTNQ5zQCy0Ik1ssnk4aFtBnSIwmEmA4UKKIXgZWM7PM53C67XD3U/7rI8GutywZgWKPuTy1NZZ
dtXLHDJbu/RONHTKO0x575z9YFTw3qtx52xDkxjoemiDXhwxKrlnYRiJg23M8reBS878TW0jmGy2
aYw5eZe6bhc8aBkgpjR2+V4EwJEjrsIZ0Ckj47lvKfD/ZcyHk/SKBQh8/ySLDNxUZzoKUp9BBtxG
Rf4+NSrMjyUEuCjDREm20RIzoXM7bONmhrnoqcBWna5t1n/jpXDmBDiAPXvhflj6T5bocTxwD2DX
pcS6lNawn25CNYhPHOjRqTcMbjkf88sCqQ40uTslurFZNK8hu4IrUD01MKqvegFDgAVF+MEHjrwP
p/ZFDWUNHx2QVDTmpJ/BxZY2dkzZ4mBjzReJeSjS+DNMnWU9oX5huqs9OX8hi2hT1jt9Cmp9SjPR
qn2O01Q15rIEnk0ND0Asj+UH+BjznoTZ8m3yWkBYCFTF41BcECuDexEA4jLqqlqBDHgAqsrGGXcD
1/mpFRI8cj6VMa94Wnp9vwuQEjj/zxx8DBvOXx98fwjM/8dgsX3sj6MPcWVISZvMBdHK3dCZH0cf
zhof8UmsX74Pl/o3rUv84uJagwyGAcIDqSsw4/w8+jBP4MwEtAsvwgPu9k+OPix6f54skOuEr0Ap
QH6Xs22p/L2v0FYKEUokUFQuRYp1w7u0ubveYl3Eu6PLnKNEocGGs/nlXWfL4mRcvh4Ct9BXDlIv
O6s9e93SIcChaCfEDyDr+VeQ/bCxsZ7uRQkCZMybcUxWydyjdiXORFrR7INLuB9J5TDwfIrLR6/x
nCrWtQ150izldA4XtSKfxiZ672D1PTk0E3FHc3EPf2AKY8XW16mGktVOW5QmL+XYpVmH2SUaaV/e
gw+oI1CKKpZW+LGeBhXPc2Cwj+kiT2CzrMclY9/A0PcnPbnF/Twrf6/qNjt12N6A2gMTbIbVT9zM
zR/kAv2PVg35Imtqjph9zF2YeQXs80ZmD07ZuCLyxlA8BcYPHnucv8eATPxb7mf9HmmNqC/4EK2N
GsNoGkCZSrfFYSv50O2dhi5f1eoGjwbeYBrqcDyIonCPtcmW4xgGxUdTOfS6XRzxHBR5dzMLMi+R
bsrgOsiCJvXVQNOCIjykkL2Abe/6Sdmv7hNEb37WNG9TK4pujxKXbqdqpm7DugoOIPDGU0H6bt94
wjlgjMy36AApIgRr8kO7DFMSABhPWzXWiVt55Q65wfGQcXx+10L+WctegUYAmeooiZc9o37SDtZP
5gKfEGOivsHFOx5AKTrHlYTzNdU4QwFJeM+Lk+dfOiRW95N0WUqrgr+624JYbKui2pbGimh+Etsi
2WwrJX/fLvW2aBogwVEzdsNVThRPvRCAqDFQMOslrD/2delhwJ3R34PXPZ07bKq+1uzKsQNP1/dd
Nyz6PFq2BTgYYK/ScIR8UXIcytiTm21hLrfVOQep70f5tlSL9/16fd+1xbZ2u9sCrrZVfJwU++ht
6zkbc/cwbis7oltIBJRFhxt2W+n1ttz325o/bQv/+L76byKApvV4tW7CgN0kgnETC6pNNgjeFQSy
iQlwMP1HugkMzgypYQoU+YpwMn5cjnvHazvn0arzMHU9v9qJltjb0S/6OBdYepchB50OUQbM5VrZ
k5TCuWtdrT8zOZEkCBunPI9N4e+CfjHpv/8agJDFYTX83SVws/yX6ffnx/3YLJFP3zoPttYdjLI+
nN3vF8CW04Thj4QmwfIIdwOn/K+zb/iLG2wRTlwPLNyWPtwaP80OjMvwmqEEoorE2+6Gf6Db4Zz/
4wXw/jVtxBTBcourJdh0vd8Zy13eTnzwqpipsLpeiQMbUCJEWCV1V/t3ehDZSSwgpeNKlSL1yVS8
hQqxA8fFpDRxr0w52OS4c0iWjoUZ4JoIklaZm12J2dZDhIj0tCbWIH5lPQTBIhw/FexfqylOhGB8
5IVs3kKdNQA1Rvzvdqg/sIo2h0C2yFUVIStP7jQOaaUlv6V1Wzcx4/2674OsTUMixa5c6m5PnVkg
VohXE4Q8cM14Cjt21VaC3VBXWjdCcsd7Gialdr4TzJ+r0dxV4yCzGBOev4fzjZwYIkzNAzGOxrie
sxHwSOWrN6lIdya9t1wqUZUiapo8W3dlCdN0V2Yh8mHMX6Y+KdbAj50+74YoxDbcx71qAJb3ode9
LA0sGr4UI5ghK8lVW+fsDpt49qz9ELdAHuA070UTyn3pOFlxGnVroxqx6RNAKz7dr2XpUFyKAzMI
fg0oOYgtxgR67Ly8p/Gq+myObbtU1Q5ZqMI9I3JRnfXcV2coU9UX5S8FArLD3L1KZ1npodG4MD9Q
jTnjGnnbfoB3jNhtgmA9GPXewsndOXXQb4Co6DvYf6MXRnxE0mZGBIma9atbzvV87VS6x86hm5ZG
PhjDu1oU1dlx6nY4TnkXhifWu6X8wDvq1YeloVnkL/PkJ3yRY8yd0uJk2uB71Y31SycM5lsVdImP
5Ma3pTf6WJrWPdO5y2LHme5oAIlzGeb+tK5B9RGnon90EZ2aENybvZeZ0xGSpTS+TJy8LXb1xo6i
TkFO4HMyu8PTKL8iKwpMiFXuycwcvQUNzsc9M7KDLZevXbLkuBLXRRc7jP390YIluLGUd980n4Db
E4QRryusAIcw6MytO9oBTAK+ED0PIp4Xmx9MNendIie6C1CcENUIORz7JsQ20VoRvLRU35nCuUao
aSgRDxPAEdbqnCs3OADv5yekbg6+sT0A17K7WXIzoKWiP5Smdm7quk2kcV6xHV0msZR7INPuc1Mu
d50zdsjv+95TDpMV+ysZoJG29rHStEFEq3vzTSGT1aE0ypYqB8pQaJsu/voC1nOKvHb8yqT1PjvT
dHj/qpyWFREmW0wEJaRhE1ofE1z/vP2FfDJ3peO+jAUixwWtYYXijEszLHwon2DlXmSufzK0vTIY
c+6VGJFmxDC3JU9I4il1pyH2DJFbI2OBI/S6dwNECevqwrvqUiPMlXaF/trScLpkHaPHPpAXQL+1
H/HWO7GJ25ivhm+RPpeeA1vXaVYU+hy4ePhdhWGPmip45UPjvrSDmu7wZIxf/cazsQXSOdcEGXV/
8r75al13BtzB/dQTu5dlnt0gj8cOiFU8oD4kO/QNekJwjn8Yq7W8c31Lk3whzwA7rzmx4LjxCaTy
EGxqIHR1eYj82iLp89Ai4MGdNtr+MJXtxXqmPLVgyWJNwY03WBAONFcYopxyjloXWTN/Zi/OFGaJ
9RgAGZF9HUZ85nauL1MZztiis/qM9Ozy5AKrjZH7LpHxNGtc+eSuhp4BG5XItHTF1wX2RUSLgj42
anbuAYzWiQe+ZQ/W6aUdkZLaw97Gj49Tif0xUwddIzYPyeCTr0Ka1A6AkqapRLS99qVmt+Xag47M
uKdjuyhsB5grI3A2/JRZrXYDzFdt5adm1qm7qiUZ1tyyyCFwqwvQi0nnLsE+Y87d4tbmMDfGXiw3
+SPC83Pkgbo8tQhUg1zPmbtrkMJJy46TWAI8Bz6HH32NfEv7P6CBoy8ToDOGg79eVP9YHvbbpvrz
Q7+PKcEvgUc5mAz0QnjvUtyPMcX/BcK4wMaJHXZrk8DG+WNM2cBt4BhYH0UA6xFa8s8xJfwFIwr2
1BBLpQ88LvD/2ZiyKdy/YzI2GZAwV2D28QTwvHc+7ndjiodQUotQR6pcV96uRIafMEHBtR9t0GZw
35GpOJau5HHF2exciq1wBVk1cJnTew+LbGZ1Yls5S/ne02L51tmCJhvE0ST4zinZGJObeSz6G+aQ
cYtczYe1XtH/4q+qRlT8vRcGb0Z0xLR6mh6crTiGbBUyIIfzB952XXinWA1L6r1tZg1z1cTFME97
xpYcS61g+dMEnKBKCuRcD9TFqBAbZ0VbQBusx3yssfOhkyhmYiHF3pOE5qnPa4H0Z+n6OnYHIz6W
QYk8v3HIYDfMFc5n0VEXYqE7XHmNWz/bXnUmRuq8GRHacujF8AVZGZFpwmIyLhRbGJPrxXZVvetb
0FxVVqMriPRuUohOnW3tu8+ml8bFySNoNOEEFQekW5wIMrp4cGorGjiwVdGfkSBrH1bPgXfbe6R+
0V1YPQYBUWlFsuGehM2M+Pcsk4IYoveaVEsq6DR/qAlcN1hvTR01iqPxArPnNZKe+U1D1+J2Qf/H
FC0IhI07NosaaUs8DEdKGooJkocf8FY1bxng9g9FptsEFBq8REuXZ+U5GYlwWpY6BQdSHlYUQb1W
al7ljqJyBwx5UatLiGTaC6hHmKWr71+4FAApplHYFOUO5XWmkIUehGu+ZC1dj2FWVs/11HKIB24m
bqq2zW7b0tPZvhHF2CaIzQ9BIhrCTgWT4tuYSf+Nr06oE1gqpEryMMxCxMen8osJzawR0vccTNlY
BuOyD1wvmssQdKGZ6jBeApb4To/MMnqowiNaOnq8gsXsPepMd7dlgEk5bZG3hNJRI89d55bsJ3Q+
tAfe9sNHbiay70VdnhFpXVC94CvrgXnm/lMXbhqk24F3RZ+BQFYHg29xcJuwTduyXJe49krnkysJ
8rKzTyFNVgtMdJzo1yDFxaFYW7RpONNwJafMPmSIO6ZVENqHwinAgoet5pGRs8QioRd7qsmI/pMa
DQO3sg7z7ZLP03pWdcIbkpVx6xn7WruiOiGmbDtMvD2C3y68eRoXju42ZxzxbMeW2omgm0mC10gV
z3RrdJItzoMkY0RcW99Vz9bRDDVa4VvfVfkrC+cVIw+EewT5iwKqNA1Qb5Va19MRaqDMfinKsY+q
zOEfkcWvMfV1k/c88p59MGPA7vscPSJR2MsBGeGlvQk8nCmYVQvxrQD5uvcM8rIJUiR8gmdWTRfd
INq/X+yCf4zodr12cLG9kpKR2wrobhkheF/cO2WpjgDZ2ZWCT9dHDtJabcTLzL+DvjWzBP0WYbFD
ONeJkbxXt0WA+Yfj5r+bu0qusaNb51jCIENqdUVWK0CQKpmWsPomqMJwjFSw2WcBQzvCOAiviRdu
xyXdUrJHheaJYYd3WHUhrPQekSzZ+Mwq6JukDlcURxiAaPfu7JuD4wcdrHLPFEif0fxW6o5Ffcds
HgNl+uSsSxah42C8XUqB08guWZoNPsAPhL3lqxjQnBOrNit3qwwsizWcuymBJsrSFaf/B0UcGyDv
H1LABwEadGKcZe0TELppjoiYUJ2iWdOMj25BHZRdqeqlQ4FVkqEqK50R6IEruJqnQDoM8kw2zzeq
wqZ9FTYDc3YEB9g1AXdaxhWaQ0Q6EoJCmWbylDkMrbe8qCJjSLSKAAkLtyvKU7kq/CS9FVGFc8aC
UsPbWAqa8Ezyb8SZutupLuojvlQdRkoQ7KemxSnqTHY2wFYHtZ+Qqw4Ti5OswzEvGJwaKXN0h9AB
89uCeMMuQF5mPpiO+TJtsBvIhHA4QqkXePkYV82k34ACy/xKoKzC3edNoGvM8D4X+3+/LvOrd8+h
VP/11PP/vr42r+avU6/bR38ffFwKDip0UR/owYYEq/9j7sFwQ5mHYi2g/bAZveA34x+diJiF3lV9
nMuIwmEk+inPUI59OeSBj08GUeUf6fNwCv4493iYq1CtTQOo/Rh9gFj9UZ4hTTf0WJj3aGSq0ASV
L/VOj4qcaGmDh8AVeETXdT2hR4GdxZRn3wZHBJd2dvs7hc1/jjkYqV3bWP2x40afu5qvl+8FPXjc
UOuiBYuBf/YPNQ/1bvLHCtOUW+e7cdAikVw1j9AaAZe2yvmEjU5XyffunprMYXj0UVmUVu3CD4ty
s5tBQi+S01LfrG5uyN4Gmn9CsT25n4l1RKJ4UdO3bK0bg4ugHsC5uCVsrdGxp/din3XC+a4bRN2w
j3XdDkOpPY6uwEAWFvJY4xHcjbh7zmsDAh94p/Y+h6Qfvi2uDD6i8DF4QisJemNaOP7NbswMLuW1
rS4o9pXFrgN+HEPlHK+CFd5gYyBtRS0V5o0143D+XREQSCD5zfQK0OjQBDD25HLsiC3e1rCwX9e1
gx+Sl+ywMCgjvJ7pZ8hgBrkLiX4Wa3mTp96SoVimJVymTAfuZQj7/hTIZY47DGwXVjXD9bAI7+CG
0n0gqsNOWiCbkCXQoscd6cjyslqcCdGKbByPeM2aS4jOladJr+U9JMJdhlYDFXuBEBAfqAIh6zRV
FCDnHwmADU1qfIV/HYnnI68Uu+m8AM0XI94kiWBdhZqQidl9LR14k2hq6/fYrOWzMj3aNSjNH5Z6
NLsBBDdu5LFTu9A2EMxnXzgfqtZxNCqC9MssxvArB3z64hVFjoaCloPsVYw4XzCCeHtW8fK09sh0
RHnbAvEqYd/Ae2TzIyMDqhH8qnLOCj0fd9/LiuZ6HSI7IGma1GIYXkJaB3AtwwFbdYWlFR2YaDxx
av0ShJnz8L3DqAvm9VNYDy7mdRY+9B3kXfBo4TwClG0fobHWqPzKhvmhtn1bHH8rNEJZSHFVM9Fd
h7CNMBmYTqW99OxzCFLk4HNlrr5XHA1L6SWQq8wndHmpWPuFh/YWZk5+S0HfzJ6zs52+KvBtnFUP
+eZ78VFVqxErbItvx+2rPbWe+uqXYAypb19hrYsI6s2lBdh1U1vmBBFW9gB1R9LKV8cp1FcLj5k2
+bBGiG6WNqKrRlQRxt02zDjdvFN9P+4tkqPiuLkCCSwf1R4qtKaxW2RQIIkKJyf3Pmotu6tCD85B
hZlKm8Xxsy9B1jtunKEX4kyaHit4Mzh2vTYGgxu6LubhAW0borqZdMgwgvkrvfOWUWYot9TjtePa
/lFM8xDE5ZLRlAG+iSZmmudVubfTOCscWzm/DKbH/5XwRG2S5eFaHxfXYH6ZMbpkCKQ4jY5ZuYgh
8hBGjE0O37th2jon5N+kiCmqLS8oVQIogByk+8KN2iIrvZiCOySK1Gcu8AMetkLSRKKmw+7QyEX2
LqYAGIwdMSnWBDRktrxBFxmqiYJMIcY+lSyZ8M10V27utdFsVzS8ZkaN+3XsILGEGDEfVmOWPml4
8wYJUn8u2Dy/IcaIFGxRVG1wQfLVSTqEfyAKI18Dkj9HyeUVhP9B7nocr3u0FGLyIfNEh908tLOz
H6DGHymOX/7otJOcE49OMOgzQIRg47dUzyoEzg8ozmgGUSGqxqLJC7ZbAP1leudmpSC3dtmO1ZYU
eNEilL92X6aMyDPL8zJpylF/sHlQuBccQs6lQU3XlYIKECQMnQBLhHypew+rtz+LQPFrPdblrhhY
f2UnR+3w2eYSI+Mi8tidUZQWV5RvrQK8tE/lQvgLLRokATIJYGYCgL+Ah9fFBzYE7ifj11mK2rsO
LVFIm+ItZYIshuHCdtwvUHvV1L1APSr6YF5RCsSTzFb2k4uykB3F0/mQlVkWN2Tq71grlEyGLOgi
Q8lw1oChkzmQ9sO/fxaC1yTE3zc9/+evRnkvTv7xgT9MKqTVoCQRjgTN5u1jzPhpUm1TDACtAKo4
E79L9Av80g8P+hOKnLfgHEpFf05BPspE0SKKjwJejuAiujz+gUnlbv/I79UfYBDE5T6AABZAo+L+
n/hHCIQ694YqJrmr0PSG7qIIp16edDBynkQZslfLsy+IpGUhqtAKD8JBMLDrMcCqHlnpuF4M82Qk
SETzNwjA/bd1DXHO8sJmFAJ4lXURz5bwMMMyXrZ5O0ZTyLxcORA2wnPv88FPCdXZGLWMsBeL0kGT
oPgmy9KiRmXfYYQVhGayZXvbVjD2mmhhqDEdV28IAV5BY0dtpkH9oZcFiGR3edEPyeQLRKTxQo5f
PLda3pp2mh/GKZjhxTsVeQjzyQ/BWUt5huXewuedtq7rEU1TGCRW9NlFQNpQd2KoQbdcV8xoACp7
nw1XRemthzljg5vwni4PeZmj+cqA9EJbqfDB1AvVFAmCGyjMBiqKzo7OLmhFDMdkVsuCfY97qryT
VukJrCfcm7Wg8o5Kwz91qHOE1cbm9RbyEYXGtrjgh1gly6+AN6ePfpXPL8HE3M8j8TS26h4aMiIm
Qou4ADLu7VcgIigrFtt9YgF8jx3SSntrGLKrbd1WT2jvGL1doSb30xwMYZWWixPu+WDyezms9sHL
2vE5C8d8OhQeuhiRAiz7IUYR7QoCvdCsRCq23RyPmRhswfWIGmuedQqf32ZZvVvDGdqPRLvxHmKg
eKhHF+VwrJq99SyxuS+7771NK1nac1W7XgZ36O/Km9ZiANqCToi83qu/qHDiUvuXxtPu4/caJxUE
6P1UtnX/W40TQgoGKRyMBWX//6tyQpbNWaPJZ7kf042XbTZyFtaWWJIuDwDU4r0DuNaisHmOMbbP
CSrTa4W6tw3FFQIVWDvez1tmXzT2IZ9de4GpBegMWiXCVVa3p/od8d2ieMB939FftJvxa4ei6XR9
R4O9d0xYvyPD4h0fxg8PKLGZbIeHtlkwXsAlA24MXxDo8TrBOYIMuCHJbKOTy41TVn5HLpKO4YHV
WbdgvgbR7L3DzSEwZ2wywRECA9Bn7Ot4tPhGRPff4eiC8gGeHAlV4klffFOhnx9cXvenxeN03v0v
3BrvGaK/25/P5nX4L9szTIMtffRjd8Yxj/YX7MHwf30U8W+ZzB/XBpZqNEPhl3bhNgEBD6wAvt+v
vxsAuTOKDqcQciPH6fbz2ghgGggsvIyhNRo/DNwo/+DagDHwx2sDjgG+LpgQCPXDUnT/HOS0PXhN
m+O3qs3d9CmA+belR8xjiUakJyg65YnzafjY5hOfjz70P1jcpZaIQ+K0ehJkqB+61fPfMlQaB7FX
KNSldLJ37yziyIAroefuKKX2S14vSIcjGxTqFHiSrxLQezkaR1Ghi7xxESznXkDjusvWjtx62FSH
s5FQZyOBqrr1bAqvGRCgQ54/7OvqGtB7WUQeXaaX7ZD6sqwOac6TLlFgF/YqdHfo76LZ3nhF7cTU
y0ZYhLgPzqTgrtzldWvfLLPdPV0o2vlkW3cfIO639FDmon6qTYumZk+M04sAOIYe3aZfErQeZneZ
7pFSNQS/dyDFbyrCeYb+x6mIJ5fYV2Qn4GVUhbTxHKwDaFs/o2fNfUV2onLgwTb+0PBjQytvvKyo
whBx0KMbcbY9myMuWg2pQGscj1BQ1tiwviVxgXfSR7QA8j4m4OTucwFLWzgYs6d2td2VhOmO7Ise
9Bewb8gYehlE4GMRaorfUbBWnb2n3JmLB3QQhu1Vw2oUJEz50gC8DcJn+JbNpRxn/2NbLR3OPI9f
TRXxdvWAHwtKNcxnMcHPhD2p+NXcebggdL6atJR1f7/m5YS7aipT5LowgCPnisy9U8wPFaqoLmIe
CVz0MrB3nh7L1CUjfQnQLHwcER+9GpUpU3TcVru6JiU6ebR0d5muikux1uVHFvQDqBKiPmO1Li9+
w0liLF5OcNy5OeZGywI5DV4e13mgNtWQim3yvaBRd1T36TQ1Rbqoqnka2DKbpF9VfmuQaKt3KIuF
wYX+WxOAy2kUtNq/aWpsa1K8LeiaOQToXQXLiUHr0eu0s4Au+HNlI1EiQxGunESDsBotHrVeHQdk
JNgTVK+KvLz2+868BhUkcnQc13rXF3DaEre1zv3oBTaFgVdEom36r1NDmgOSXvNxyHDyhxbBVnDQ
ZIfLgKUiREMp0rRFAlA+S00Z6GdUK/4feWeyZLeRbdlfeVZzyNA4ukEN6gK3j74hg5zAghFBR984
enx9LVxKKUqZSivZq9HLSZrSxBCDwQu4n332Xnu6xWwv9m5BkB+/H/GRPpm/uEMX7VIWN8cJiEG5
aRozxU7Ut9ex7fOhG4EejY1RPYAOt56XQvc/5hZTk7loEbCfPrtpZsQXqMPtG0OOfqrxPX0vHW8J
o1Kzd0ZTxNfWKF4ar+sd4FAQDwdhDyvexXFeRiUL+bkenMg/tYsDwVibMvFRuyo726srxrsYZFKt
aqCfTUXZXy8YSJZ3tMQseuKs9eZdVieWv5mhRVdbV2vx4fgReb1t5Nn8s3Xx5+B2x6sDvxTfjsRe
8SLjcnFvtWg19Yyrv8cBZIc9UiX5W7/6f2pY12cncqRxzq0pzbZDMfp9IEhkM2lfTETdD0eRd7EX
zRerEWgJu3vIVgeSWr1IycWWVF0sSiwLehwokZ8SFazMY9nr1duSltoLxREg9ot4fEYDA9vU0Yem
4NtoaODcq4qb2oRqsbV5dIvQTIS4iTt8YTDmjPEM1nZesB6NZP7kkurxhkv9nIT5GtaOrM5ednoM
2LZdkjgK/+cf5b+J4Ryv/0YM/5b8i7P8py/9MQQyz3kuK37XIHfjYgjknP9xmuNHZ6pZuQj8XZkm
2vc/TnPcAaR2iOKQ2PJ9TOt8J79K4cAcEKzxBXn8BzmJ/6ZT0fyzFM73RLCY74FbA9Kfxbf3s1PR
qrI0pp8noEnBPeqF95RgTUAaTUqkCoWfu7f9O7PSVlNKhnPKKdxtYbCe03siO13f9YHmoOuwd7UC
/IPqPlEuQvGspffLwgFVuy66hFMe0nRIWC+xqcY/tGMZ1e2bOr5RVvmCwMnQoAsefw1LMMDsN5uf
2qHrkz2bKiaqhrf/RHrzeu6yHZyw4kFoqXlfkWop50YcMYSn3FU9nWQted1MtAd9kLtxzM8arvdN
p7k47/lT6Iv8WmfuaU5OCEHxGRDiAf3auMKpG1rW8N62c/yZ0ptdaxbOJkuQrzzNPi92pHNbYSE/
dxKymK52gzF8WUZ1SNlPqVavN06jGELr5T1KNRn6hTgRWmIy0qxiW6B1fsYXVXzJ4tn7QgJW7hEG
5H6B5IyBLNlZdkP3TT4m17FIFn6bbOdYC2or+7Vt7g8g5m1xT06l2ull+j746rMvM5w+fnvv1ziN
vEjynlXVoQd1txUsHQO5vNmztl1qwc8kE++EUT5NcK4/Em2uA6uMzZ3WzfdYA5p9DpwTTyLjmlGK
d92c0nu3ts2tVbJ5qw2QRg0OQGzX9rwxK0K/EVvEnTbO87uO7/mrJ1S16zGHfbFr2YSq01s2cJ3B
t4QI3BjjdC4d40tjwItjYZzN8PEMO8aa5FxriXxPEzDZQ2tzUvVtczMBqty4Mn/3Z5G8r/+QSFYX
yBRDiMurOU5am175QzphkXP5gczNnHxd9LS8Yr9gbgRri70T135Yuaq6q+XMDJYl2B/iGXhH1nfi
U93J+KWv8ulU4urcDgLsqSMG7SAKYZ+VHolPPp6Xg2FE4+PiZONjvMDi3eR17Ek4IyO0cmdKv2c+
qecSt8kBEFxyI5Jq2poz5nxyF/RDMA6n5wlEhMrJmZEJ0e7b1S0erb5xXCUYNZPVTa5PETokxS53
yHHZll4Qf+dcDOg5VnTWD9DbVnd61ZvfZIbSYvBD/jYqsltuZ/Yrs8fMADSW5iF3dR3eHjn75JK4
X/NlzZo06y+hs2rNnxVrEs1wanmCoNjwtzszDZJXm9fkGhYP/7ochDhrDrm2ZU24zQnJ7YB0vTqo
CChV7MDXrr0VdJ4BMq2mR26naseV1Hxu1gxdtKbpWIHVn801YSdrq9ukhvXFsomYlzKLDu6ayKvm
mGyewfOiBrt48ZL21TO7cu9yJbiLR/YcLsnxnRrw/q4pvXB02vxYMHBIkq/8aIkGVlVPogu+92Pk
DfpmKXObtXcdv+hWQqrQioB7S9dRB1uY1XXhzBDm627alcPoh9Y09iikAHB14FQPiv/yqY/HbGdo
enqkXgL91LXH60LqDoIMXHxT19qzYZXNU5GsT3Lcz18sLzc/KdVVLyMtUjv0hyHZNJ0DbN0EiMfb
a96tvMitU/A/tjG9e8407RGBYV6J1jhqrWW+LI7WXqX5rE6Qnb03BSksQMjrqZxAEMa1h4IWUhLw
MpfFW1pOM70H2Sd98M9WKm8k70JEu3i+n2jaqqHp8vPvnkwxvKIgu8Eg5I2jzE3ax0VgDsrZ2mb5
0Buac16c4saYyo+lh/LvjqDsl670jlalCwBSmnqzhuo/IMiGYw8iB1LuX18NAqrM2/96SIYP9V9/
6M/+IRL/+vU/7gf+L8LlSsnGdZ2nf9qUu7+wnF6FAZIKZNMY+3+6HqD/CsDQICV0C67070k28Qu5
CHx9UEPYsptoAn9n2OcC8Odhn4gxvKY1GoF+pK9h/J+vB/pIMY2IsnAqecWGaUOAp6/siUXif6vK
iWIdwr2Vcpdp89+vcoKoE/SOk6j/b3VOKPQ4bPOur+ZgNv91qRNWRhbAMgGXuveMcbzzyxwLuN22
TR3iAnBhe+A6j+9E0ZTotNwN/dt6SVW958F2YGMWKTUvWTrFn+DWtU0YSY0DFhmuH7e+Vfr2yR91
s9hHcbLQtjcDWQTfhxUHl6C2IMStvx9prTYOnIazDHxb1olgoeUtDzw31r9ZZu8dBypN5Ea4xhSF
Xb4kBZEnPXpnQUluBBuqdqXGAiT/QLA2pRaxw6ZkL+09yu+MjUvL4MUxbpuUKLTlsokkYs5cieh9
bAQzsQ6rLglrIAIVssNKO3BL7lx7L+M+BqFudOw9Mxr/KXII7aeurKsv1PZQLEVzJcZmWWtyYrk4
4qY0LbxCuzEGExKM9aTkBvMsdTCoWuLZ8QpKdDqk52U7UwZx7c40Ma3qgcSuaSY9dRYxdD5yxKbz
1FhLo3Zmk8f4AUUJ+RCbWaT2Vpyn16YbdemhdPpk2CQ9RX7EHgfW8Rjo/Du3NhsDO2RV+MFi95VP
v8e4DAGFDcMJ+Qj1n8M2J2NRAeDfKOgv1l4fFEBjJuIGggoctO6IHxKSQj5XKSuRvGC4BH0G1heG
E0jTLk3NM2bylN6CS2caQezR2fS1al7+cyawfxsU+z8ZXqTjt6r455fsb2MYX//jNUtBKs8F+Pt1
zoLQ5LIM+20Mg8HPYs0XcC7Jh/30nqX43UBR4NXHmoxf8vNrVqyPKyYlmAWwTWCU/g1NdTU9/byJ
Q8j31njGyucwsH6vceaf37IagMq+xts4O8Ic+WwvGgoPhkCHoX2JyPRHlKDeGoBIrN0wGB7ssWZq
z1iG+qthspc341LNV2aWfgtc0l8tt5p29iriU9uJF8Ej9VBxeuwvH0wW6NZHPizTiudcP7Xt5RNc
F9F08KtourUun25x+aRrahlOUEzp39Mvz4LUm+hD2KN1712ekz52vDscTDw98eVJQoP1XGx8sAAc
oweBH2eZ27Gapr9i4whpDgfIyWSKIcZSM5Ur9SlixZasO2/PgXFaDt/cIlWAP2OFdZXHqLzJdaO2
NrqcB1DiBXUhm2Ywo4I9S2LQCrc0hzhG6UAQMVqEo7lmM4hLcNwOvdEpANNTB0yiwj6zwU3MaOpK
2MaklnP6obDV7uGzSC2oHQn0ilkZjlyXlOO1a9e6SSst82fgDW1pb3qDBFhIP+qEZcrL79rZ0OP1
DTF8F5Hefv+f//CuNyQwj//uhsTRXv7LlOevX/njoTW4zYA+Y1HtInoIKJa/PbSXjAT5evITxD+F
uQYwf9uEYD1c5RGEjZUrZP3UxonDkBeAwdChWzb/9m+lJ2xj3Y//lJ7A3+jAN8Hbxg1JZ7/yJxeh
YSXS8pVz7KgoLIN8tc+AK8FJA7FQ3VQVa4GgaJJFO42YXHd9blhB5WaeolVLlENAG1IeBU7J4b7x
L94d4S0YfjV30PD0JNh7JnPG6FNbd/1q/QFSNsLjxvBjLXXrBdFqEsqqvL02Ls6huNOs+zrBlQKS
PvazWyIH2IwujqP84j5aLk4kfzUlAcDEn5RfvEpzn6ud0y/aIWkAblx5q61ppDHT23gOzuk7rZlV
eYjrUQ9zK7XdI4dtux9Xk1QLn9LYQjKsebojx/mMG0erA2nI7AH3cckv9ZeNqjVxO10MWE7rm3Jr
i6Tbd6ZqiKR5RghTDxIK7XGmaPZp7KXnddWYJBpVma0TbZBLzYdsYdM9LOIWa3W1hTYtd2vN2TEZ
M+IL5GHRnfsgTSTBWwNTUkc0oC/x/FQd2Q6N12bse86VJqr8qqm1Z6Hn+8LG81XaxnXb98YOz96x
0cGwwVkJTZO6n8qb4wNebKbdAg05sSz7WNKotsVYtzENLlrWUB5Bc756vXZqY2T+hr2P6sZPKVHj
s0mVhl6gOzdZecuYfTaQOFCUhn1c5UdIyyps26UIi1aE1ozDIcmS6aXW3Pk2idVwLFwPOYo+qSiM
rNz+emnoY8WcvdNJlHxrjE7bdcMMyL9fhnOvlHxINTu+93ISwMGic+k5s6pS8xVNRKhsMWZGbiIu
DQ0aG+lNXWoFyd+fOvuwSWbGLioddczNsnP/ubNvzrVyr8clVnV9MA/++u5XY0PJ2djZe7sb23ST
xABMtTTpXnSiOc9mmuXnVKtByWdj3V3xp8rvAOhodCYpG7Nq4c6YsPDPQ1ftfdyZni5hg05ZxwOV
OWlxrZi09U1D5wtYUTRTFEPaXEFz4nTaNB4R2zky1IuTI0R6Kp4ONFVrH32v+gcOrj6I4Hlf4Zab
LLpS+uGg9IornLTZc8QdP4mRNROsrJbPYFeZ53I0ygcQ9P2VXhfcT0WdgpyuskPEvfsx0tKciIKW
aDdZXLdPVlkRvWiSKfBs6R0qWSjr1/5AW1ePy7QkqwLU3vEhQkzEp0jd1qxtTM76TdsO7lafs2ab
49rY4SdqPwhiUI4ItuMlLXLxngrRq+tOYbiPd0YrKItBW4Jp/6SPDqRl5rHZOTu+1+y6pMHlZm0F
0sgexi4REKb+QIEPe4EaAcUnz92AsS8NoHoTF/WFRZd21ryyNt1Z1VNSdEAijDnf5ZmpAAxV826i
ywpB7jEZuxOSBCmqbpsmfViwk9SVOnQCz/5UJDda5paHQrU24QRXBWwUmptauP11lORLSDPAI3/z
y4OhHDIMZq7o4oII2Q/K/SCo7p9qIdMDrqEnsZaHGTF2QhTq/t3B43qHAaY5DSrZjl55U469eBrS
Mf6uE4n5GKfcDWGtyKAlvX5e5ljetxBjeR+45hWrpvkVXzjAv3kNYzZjl1IjUtYhXllsFk1pHXl9
4oAuyQx5vNRQmcs44c7Qmk8kF+wAC3i9pzo9hvognCsDttWznJb6mh5hfzsvo/2Z7FGzs8XT6J+K
Xt6BqPVDYt/u1u/zOy03u1uXqwr/kTimTcenGHHUmQBtq7h38sG+GTukwYrh4lDxVxPIfIgODtGU
W840ZpQs74cgc4kY0+QgPxPdAkK1aEOIdUvci7mErjVQ3VgtYplBIxvLYzoYBNcBN+6twdchXuLM
eU7q2gjUNPu7ho/ZXoyp3JHjosmhkNrJVNN0ssouC4xMhrKs6HB1oeOOTsFLT4jAiDPso17n3BqO
BmOl1O8TYIsQead3PCfZZoyTQ5ulexynt9gCngo5XbN6Hs5LbxZXYFaWfWIQyOtW7J2c2nhX634d
RJkH9Up0/c4l1coNEvcTdZQ86NqStEyV7XhAVU0DD6oApndUv16mnyS9uIGbtu6zO9cnYfMQ+yWg
YoY9zI1y/SjaJlGjcnHq3di2RcaZq7UGecPUPRdKOREXb7TXm2Q0CjesbBmBvB/nQQv5iBlYYKfi
mJZJ5h/Zj9nJJwNGzr7H9eQFQyOHrd331r6h2DJIx6m9ErHpHfVhXq4Gexqrp8nVmLljX5GxlVRh
0LvUztRe6a4tu0dJ7/R7YUTdvUO17UPfsQEOy04n5TimdL2g23dUyWd9PYyHZclh/jhpb72SV/Su
i7LMcfjY7gftwqALWO7J4Ybyb84WPwPaPpvQsANfWe2xr30SfHZTlwaXk5jzEWJmdFJT24iNsOj2
WQkMi72pjcym6i8tSPIx/6hd3s4FOZqKz8EBg6x8rdyJO7pGeD/MeFtXK4ulo2zX886TCRsR2yOD
LsIrAWYjae8MtbxrWfbYxM7A2mEW8Td9qMgEDYw9as/nyXvIdRkfqPBbm+yTpQ7nyVXUr0Byy3a+
09FKhjcKE20t85BqPhGOteM+RVNb2Oeqc6vXqIBWupmA1+K6r3PCz7BkFztHIzYtzFL6GGd09QDu
D6K8Sg/mKABBy077zJUxO2j+GH8ahdt+NpekvBtKldDuuCDkL4xE3Wh1n/RZR7+udbzN7uh0+6Sg
9dCeW+s97drsOFc2xzC/5lnPsv6EH54Ppy2Wb76cYA/0+q6uug6Py//8EeHX+dzkQv/XMurX1+L7
vzRM/fTVvy1ZkUjtFTPKlGB5nvMPyxTr0jV37busU3906f08KHCrBAFqCW5B5JF+X7IyKDBsCEyx
IEhd20MT+BvjPd/LHycFAkZYeR1+ExNFlzn/T5NCp7LWjkdwQTW7fUCfDqFLHJzesInXLCbrDM3f
IGCBB5vIJzBJE387FSYZTo++pH6TmFCiKBsm42xFJpnGxPiSXSKgonCn08AEWwYRg79NufFsfGRJ
M4MGJUMqQQU8rtmeK3xG7b6wdPfQrKlTb7AJoMZrFjVWvnv2Sk/c+cTzZBibKeM5dv/k4K9Z1tjv
TRGMrZERcS0cfVfOfnISaS5MNrMWRTt+nfRfaIQXN82k5+Tvqu5d91YoWOfpUNvnwqjSTdkIPwt8
PS6ObjbQlk2SJ0xJz7fbSBPJFe3IdMRnhMN2MhPpNXNUdEfXZeVzQU2SV9wRw9eu7OossIssepvj
rHmXvLO+d9SYEmPNKeakzCSsu9E94sfu7yWJcytgeKJHnbhQFOptZ1/RC9sdxBhXxZlZ37obOJCv
I276kP612W4O2gW+QN46ST63eC2+9aQKvxkj7bUOvaXmJgepbYa0qrTcorrGmQKuFdonI53741Lg
CdpahiXfzMh2b7xsTI5+1ZWPFfawICFCfdB7/s63ZGLSut50tetl++RSb5UaeftQuG7xPXGRe67h
RPQfyaUUq74UZPVrV5a+tmaN2hrHMEz/ulo7tSxL0/bMvubMNXIt3UqgqQCNHae7NBmLbXKp56rr
rnuC9mbBhV37u8i06E/wXYEPxfOw5N+SJvPeiInoV3CTqRusxp4CssgYV/qF8hXsNLg/FMJf6sM0
LDjdro2l9X0GOv7kQ3l8qi59Y8pbRjLJEuwAhtK1kyzNK/M+RX/pd9GltcxdC8yyS5cZbvH0eRjp
j9owIDmP7qX3LFFUoDGYcprMlGm3obq0pMWXwrQBpHNIAnosA+3SqRZb1Kull6a1PprLYV+SUfvM
Dw8jmrj0ssEUXTva2Ml5V3VRs1VLYcUJ/niTOkWXdrdeX5veiI3R+kZ6LFIs/HpvDMum8s5l4wxU
CFz64jy41Yx1JjVyHaz+OznhYghjbHTeqVwr5/iI4gegKmF6HyD+HLiWqoDEBT11EnfHwZsgUYIV
xiavF7Nzl6YcWduFjboZNMuEPEenaHprLm1/nfhF9B38KSUzhAWHDZbA9tmqepobO8Izu9iq6rMS
Yho2nluqXSGrRbLNb7yzVUXF0zSRPt4Ui248K7eejzMMGi5S/EGccGhnt93wHFRf+HClN30sMhEa
/Vg0YWdgGAqJ1nfBKBdRBLLwqyFYJmlnj/E4T9W+5tn/vFRxTap3kge7EdLjK5g8AuEsJYvVbKHR
g9aDNMQ4zSstFVjaqE9uq2Cobfli0IMkwiSlqIc/MhaIfTcRaylqrThmZgdfKRVc+CElDXf/MWfn
2u/y12fnuZJ/XRqzfulvB+eKGFnrXQRlXIb1+8Fp/2KZBr4lTkhoJJiKf1fYvF9I7lLehVwuEL6E
QEv/1Z1EdxcSMozNVTRfLU9/K6hrWn86ONe1KKcp3wKNMVwcV3Dcz8J4Ey3Afjn6Zq/r7U9jP5r7
tGasLaSjddvKTaMBNWZernNewiN9Vs18NjXaSfWVd58P7nRE39fefIQGuUmtdLztk1QeCwVIkcBA
9a0Rkb2vuYG2ADP4nTRq6/oNPdMVfgzN4gRzylTd2bOzxmaBVxm11hZhonE+URHNjGqjOoDmmY2F
rR3CsbsxpNWwtkhKGP6u96QWOl403DH7dnRHlnq51hxVYw6f21TFOChIcZ09Zj+8FQUUn1Ck9IBu
28QwHhJPAfYmKhTz0CcjpgbKF8Snro8w+wuCazdauwzysfINKW7cMrFhYsSZHYUagsy0k9KTQNwc
Mz/pmW93X/xYELrzzFqmr7qYKXOJYkPT0FgmVlf7splLsBQJpTykCteesUJPvmlckaiIWkyKvqjQ
omzGKJbifZ2nbxk8dIeHNcYGIsH2Noy+KiYaWabDjVUvwrt17Mk8MSM5+yLWhztoyyaF8FkDUQ5I
J0LFPNxlVpWcU3e0njAuwTYHD7avCtc+jABBjx5363ccPekBd85wb+BPIwakSv26S4d4m3n6geBr
v8+ILmsUhcaROpAZ0a/zoXKNQIuy+QHugJcGLRIEsEbDqa5zp9Ksl8zTIqjqs1Q7NzEjd9dEqIub
suNPhNOXLcPejal5ZMM8if1kYoIKUFyW4szrT+NikHVfsGhiLY9Wl/m8+s2ni/UcaDE29OliSYeV
hz1dW53qzcW0rrszNUga/FDgUplcbe0xO+Es7/LhKC/Wd3N1wY+rH54KHsih5eqSNy6Gef9inpdz
4X7necwfa7/Eyj7lNh/dstXK7dToJeHYonZ2Pf5vEC+Wh2YktMF7jSl3+JKynqQgEUfuk2qFFvRs
he4Tw8qui2mCJbrWFkWqG/YGbUn1tcrn7KGzGlzHWWcl31srG947SUlSS6DcREZ0oNy3xvLAJxie
3mgT7cIRf3AMDYtXbamju95vgyYSnK4NZQ+xIFLb5zYinLCs26StkZ/5FG71schxnOtTvYZpPqaC
CiEDsgq/S9pHj3plfR0aS2t33Ba40ZmKK/5G15fkuVzM8VtZrbv72ZwG4tWa76jAHhEf2fs2U5C1
XXtSeockHVO7eorSuj8TMa39e9K4ddCJzuTvd7HLGzbPW23sp/3QuMB6MR75e2FN8oYbb0ZtnafP
KXVMk/Y1zdIiu+2HKRlv8ibz7yLBMwUSoxMvXu7G/j7y6WsnlAO6FPFdBXlupN1jmhr+o2S7v8n0
vnlZ9BavEN/W1F15Yol21Qj6xUWu+w+w3fw28/3bU+9L9e2Do40a3G5evTY/fdGvGyWTckkSMBxQ
hsB9+4+Fks+midFxNeMyEbo6A+Tv+yTLw04D+Yjrln9pUP/1tGNMtKGNsp/6keLEwft3xsR/NttA
C+XIW78TvL+cfX887fDhl1WXe2j+XII2vRryb1Wa2CG16XmYSduor7xVCQGbUuGCvQgk7gTpKlxW
3aRzKVb0ZR6zQ0BQGS/aSobK1MFBLNkVgKCtedD7T7VrfY1E196JVaIZIfQzqBFAgxqHhFOSYbll
kEHXscw4MsJylXvqdpavUdpADI51E1Gmv2hDXa5bX7rIRDEqL+qRfVGS2ouqNK8CU33RmjraFY0b
mA+avqlnrT06Iwxozo0oxjXCwvlorW6MG9rJ0LHsVdIqV3HLX2UudnDWq37RvvTZ78ZDftHEpos+
xnCtqHHnQuCGTtXn3Lub/p7Don43LgqbeVHb4ovy1g0xrl4DsbPYulLM1VOWeQvtY5F3ZFJqrxKd
EZWjBMh2TR58uKh806It+4bXWfJp0KYcQMcqCfJbmN/afh5JqbOmZ6130Q+Xi5ZYXnRFBdrp3GD4
NwIp0jKjixoR0lnlyDHuO3ubLfbyPDR4S0Gh9f3Omj0DXEXr7IEgsVxrJQKU0Q2hHXceKl0dh8lg
jF8pD4EFkcGvr9zyPtFBL5jDYB8QIfXruDPKU0LY8jTWJrn9zmHTUNGA+5QvhHz9at2te059zKMJ
4E4CwVvPZwMGg/quF33KHoHVJZF9I7uW1oLJNTJdSVkIsC3joElvXKHHdaK5Z8LKk7of6rKxXk2F
TQZdzpTFdLcshU3KkeFlZtDPs8Luv07taNa4nIrEfRwmnX+u64UQWK058oVkjVlvTT44uHlswP5P
KHsW9kMD81RiKbFPKbtLNn6poQvqCCliu4x67e701B5OTh5Xb2PjpjZBIw7KTe6PziPpH/PUmrEX
5JLPAiHMWDwpLSquxtnCgaaR+f9kDvpQhI5hiXMloMLhbRDPKOHem+Ms1W2RzMWDazvzMTLs5k4W
Az0wlRzlzuSahlI/TK+mTFAk49lMuWUi1hCerBLxOamU+cZOcTy5M0sZeKEqcOZJ1WHuDf7Ogj/3
4vtj0W1zWizups7Lnt2KJFi+iHLrlytnIivXjXJkwVEdXQq4mYrcG1CXcjn1Vmlh+k0WMkoz6vir
TnXSpvXwVd1Rp9yzEMUTManUvcqTIcc1ZTbqRYKOffc0N2ENmOlGvBmibqZtQ8t3/PVOu0lChjss
ZmNKLFNgLgKY5/J7XgqrpJQulq/LDMVgQ/sIMCZtFoSsVJfKIJ2m/MuS0UeN4CudO2uqnuimdihj
bRJ5rs3Zvo7kPLasJnrzvklBv7N8aCsjHDHtfJJOMi9Mrp7x3LMiSQKGxfE5z1ja7nI/0ZfQSts0
xJZBb4NEEEJLao32yBt6aIMG1iyuZfr+QkvPhnYjIi17GpaIeB+8wXYz91L/VLB8CP/+DHmdvOH5
rL53l+K9t6qeVYLL7nIa/P7/buuP8rFTHx/d9Wv951+5Nvb945fS0Pdrg1/42r3+4f9sL6fbff+h
5oePts9//Cbyo1p/5f/rv/z1jHya64///b/+smfvt+OT+e6vJ80nJNpvf52EMfniX89e4xfMGhg8
KF13dV+4Px2+hmFj2oCDQMsdJqjfZ03OZSBNZKU4s20bjxRn4u+zJlPmOmsKZlBk2r/VBsWQ+keR
doVC4Z1FPl4fWwf6zh9P3xaXWI2FjBQdpR4orrzEDICpD6Df7Edyfm1IK9s6ALXcEYhZDt33qaax
RY86gzviUjwo1janPDPENqkcHizYM+pUUuay04vF+WLSyCbTWwt05mm2nPyggG5i/qdayqnfesxp
9ylbP5+d+awIFozxXhhQRFwWdlnoGl5+paU4IMtapyMAw+cDzNohhIPN2930iRaqQjAaU5y38Eyf
Y6ySD0nuqY847Z0qKKTSv3U84YQNzD1akgi60eivs9I0WHTGJRzPYd2FM8CK4RGMZnbd06b5WBVa
cbM49nLvtkrwDeJux3uQZ5qOIlaDsk681A5YqhsbnXTdS8+Zvyo8RgVhxtfVh+dXZA/9vjvb7dg8
2n5Hnh4j3CEmDMmR5nVITWBBD7aV5U95v5Q7rkqhKLwwTqnUS7rGUAGsB96vU0fEzdIbdU0dDWav
eK7PhjSrK5+Qyt2wMkwW6oVCP7f0E1stpK0L7KRcuSfaipIgIZs81rMfbckSTl/pKLZDg0Dmq9k4
4FNwEoNSgchjhz2+ujQ0f8BWVu7KtBJYRt6NX7OVygLjGkBLXGHb2QqHRoQNXLzpOb8gXcwL3qXX
XPZwOHGIu44rAcZx+vqKXtR0W6ftdMht5G3ccs6+W8Extpa7e9ym+bO6MGXKFS/jFuyA7ax3x2tp
J8Z3awXRIAHIc9x29RuIxDzp4DuzHd3WVerrd8rgaEOcJ64aOrlByDbjRcxnp5EUoQqOKLgXFypO
4WGfgPQT96EyE9d+GrDqHAGLDdrewMujtk23UnaaFbjDrgX2jnfh8GQXJo+0ZMYLXoDqgcEKtUfO
K8EnXWE+w4r1gQz0Xb+QftIL9UdAWbofuIFn57ItyzcK0ozPk0lL2Ha9sfon17TjRx/2ToM1pAfw
ZaLtcNoYpJp7ob1ipcSVjcRM2olrx7ytWLsA+HONtNhSdju4e0sfseo2pdu3u6pv2vfBmY373pqL
N0IfdCklWnHXc/h9ZSW60CfZkziToiuue0VLoVf2t0Piup9pZV1yTqsJtL5gp35r+YNXhJmI52cD
x/b3fBhEvXMFQdDEZe3LhaatkluX0vT3pp8AijQ5Qbg0rg1a3Iwlds/OmJHaDdxMSULOGWDSDRmm
mL+UYXG9W5GT5dqVMIr6M7ebdLprU/qahhxHUBhREf+1h9X4ZPjD2O0yf7arTZrjVYFisrDeJTXq
NuRgp1o7NY0rEE2VNQPQoJVkZ1LXWd1Kb+7JrNXRsW1L7OJVqTXW90LhLnjChLCwlhnhtIVVim08
33iizstDnsNMaYWUMOoLje0prXRFvwPqS9oOJEUSHUvs46zz67IFgDaZqO9W44OQSSL1BHN6KcNa
t9Xnrkmyh8koc4aZouPq6SCCvHFtbVtkmRFzm5uVPqJLPQD8dxo923utNeyWltLIwcrfqlSm56Qx
9Rcr9u6xL633GEw9MH5fEE+urEW7loJVrBQkXbGkXpugajez4aTQR9rUD5dB9/c+gl1ECWqj3QgX
QOQAd2k3DhNSnt/YUdDn+TjxjFjRo6+GJfS1bNnbc5k/uEP7f8k7k+W4jXXrvsp9gB8OtAlgcgeo
niwWG7GTJgiKEtH3SHRP/6+ELNvHcewID284PLAdVtFSVSHza/Zem+0uVB3swhUzpC9JJ5crk1Dk
q8iSy86SuVue2pT51CGHbrtTS6gDzf60nTBI3hDK0F8TBAHmsurG6bWMoIXviy5E7BC0lJfnrFKO
zA5RHl+QRWzqIdWgjuTFaVEo9E3BY5/fwCFrvkatZSrWW0KFxrPtBXqTOZ87b/wgI1PAx6e04pPo
kbyg2zumDDjOQPp7qDCzc0da8fw8ha1+TUyfPHfs2lqyuJKxOxBu4KhE6qLgPghHhHVc4TmrP3M6
4udv2GyMtUEzisRiM4yN1mJZzPNoS8iN+xDZbbqpI4KVtx7AUhAyfQwIOqEg3bpcMc8WCsivTS+b
g3BlFf17duIWo4e/rrau3/6bbvbXQk299Eet5ZOUqauoEyw7uIFcpTj/KXcHf2TQqVEyCcvw1Mj9
56SD7BQCOYlVYQ6BfJaC6metpSYdDOHwCTvC5r/9MwCnqdYKf5TOshBnXCcYYEK5Iqz+z+DxVjNV
/pB1qNKlm7a4ktFn6u3oviLyqK5DAQrqlERl/SpyjhJivkOeVbcx3mKUqcjWE13/6L1FtId56a4b
N5/6ANpDc0lZbHYgmiz/siS9iDagD/KXqUMlfwLsrwi7Y/sEZzLMccsUyUsUaUn6ye8wnmwQmhGO
KYfOPAij0g45cNglSBtknD1rzmOPTTfbIjmb4Byxiw4QQnYV2DetPfjd7EUkqAzhjesmdb6BzpTB
gOQPFFR6N10M4FSHWaI7ypNpvDLRB4eBNg3yzrXdIdnYBLYM2PMrjIkMgu5Beufb2Kntt6hOxUec
ds13ct7zngG1Z993uU7vrhkowqbO1Gix8fDddyjQjH1pO+WxcViPB3k/A+WAf/jNaiYD/VHS8L8t
ZZE9SdtDKaOXzXSGVQ3bglirPcpq+93xcvHi92zXA8fsjHPFeHKANJLoG8Y9AqpwDwh5SOYv+cCw
43rgpJi3rp6F95YbolGWC+hx1nzDiwCF+DnPQ1RjaWZs4W7XH3naNuCPzPI0Vnl6u+itd+tFYXFn
ZlF4XFDTBY1ELtDEA/noGlfsLaYBgbatL+7BjjvHBvnAbQhxG8DB4nZv5Hrj8RZFkj1RgmQvIuqm
J3/wvcNid843CxHpZSgjZ29zGxFDNfTR93B2I3cLBsx8yuEYhUFFwWgfah6ZJ3p07yll7PXa12F6
7iLycSgLDQlDfAyhPZdAK3YgEIdrMGXZkZorl1e+2+jxJvdQUprtGN84TZge60iQeSVbowomwlIs
2GLu/NKXmbeJvdm6z0Thf82AsNv7si7NL0M8ZN9MmWhf0SO5Hx6X1nGyW3RGi53vvWIwXurMM25H
J7bZtFTzZeym6vPoTGgexyXfkAAU3fRTCqoCcCVvvJZY3s7piHjYEJ41vri8ZaAPe8O4z5YmAxlL
FfCl6zUTQW3UyoNGpuEzZCLxTP3X7OJaR1Cbiuy7nBn/U+mnd6MgBQbK1vjoGr33MNSd9UTiVZsS
DWNsVIN1zd6ifrOQ0t4C7tRREET9QKJP2yHlg8lbvaSlF+4G7d6u5/6C+QJZriiqq2Fp7dvYn7yj
yWjz1ChYvKT9O42izm46tul7v9axuIg0dy9pnNGRxRZStW5oLkuvYjn0TurRjizI8q3Cx3xEjZVB
rV8J9oOC2ZODTQcDuXIbIpV7AY83fnBf+y+mAuE3KxJfKjr+VCtSfqMJbOO5AugbeRrfYv5tbzDv
2fs+VaT9TEH3hcLvp00772NdMfkrhecfRZbfzNKr71wF78dLlj2iACs+lzk4XthyYP7HlfgfrvT/
SksZjXmNFqAjEO4RKIMVDGtmAGQY4zlWQQIMX40t4+PoVKmYgVEFDmgNMUpdn5jaSayJBKh7lJ+O
t/VihD6ZBVB3yS8wVJRBglh4OSYq5eCfj0L+rw45/vbaXb283V/6zLgOf1uoc0di5CJMDEc4/8j1
+uPiJbxaDRfYFQjcXgaQyd8uXoeFOj2KIn0oqxnb9d8uXiK0FZUDEojH37CaOf9kxWCY/8VpBr3L
4W5HEYeL+E9KtMlCugVhkdjGUv9EEFT/VJSJd2OxDnyCRgvEYjD1ST/hByjZOMLlhxU1aPpLxKCe
1IBkZrzW5213SiOiKlCVCyJlJ1O0j1myVFfm5M7dBtFRNN76FcbcQM4+CVEjaN13SE2m2JuDh+FD
lw5kUjjFn3rbsUMFO8RGlUVVcRc15bQbVpuV7sWVA0wkq7FfrVYsaErjzcS3PblCvrrgmbMiABqT
M9pELEBs3MjBZZEHNKJn/Jw5gKNrkkZmVGxp8hqmwnrTZFuACCh0zGTuDCBlH5tmQdsUE5WyAcog
7IAmA2VWUobyKZ3aMadu0EwQH+Q8RicnzftNQ3qghqczQtiJoXYmomcohnMOk4PLYopduPuVH76Z
DISInjRHArqwh7RtEIaW9iCFlKxkyiwNDDs0zIsfNR05VCIrZcAXq79LxpAkE665GS0tztYb9oll
eaAPKNHuGn12Hlt/rgI8j5z7zORdQrxJN0T1nFkx3b/Ftb4ZHDMmoETzimOdG4I1PtDA82zpy3td
glXYIQ9qBELbehGvczL6c2ANTX+x4kE+tanZ6fC9Fyp0BEGZ81DlGJJLlqv0Oc2EmjEbivp7kiEn
Cpjv22YQaqpn04El3VAxmA7GGVse2KoPKBT1+iPuw4EoOtv67Mgl4bjEk4HuJ7JGKLjELryUhu9J
IolY7/yLzifGlX/dFtx2svzr04mX/mgLnF90fG+cJipWCGmrwXD2x+lk81+4ln932jGc/bUtgB/o
OyiBfKiDLoU7R9DPtkAAN8IsyhRWrUEVU/+fnE6AC/7cFphYQwWqEbK5OCEV+/aPcp90nvLQ6tpN
B730vscPsKvtlLg8V4Z4RpdwF+Vdceyk6waxVSxgLSPzzN4MoHKWEvUxmZeaBzHIQ+YKjXS6e4tM
HXab7gkhwAZc4J6loAaNE8WmWQTDaERvgw/MTY8jbscBfIhd6F+IzmE2GqJ+MawGn0AOYzzO7Juc
gilglGRsbQRu29KJmU82xGwg2luOOo/kpcw98nCVcmapOhYS6bw8gEpw7izZ17elLfeNoX0vvEKF
45bTQZ/i+jmcmVSEKSlHG/JS0B260aOHb8EEDnQKyzS8bVO0vHpKRR458NiWxfB3ZRXv0hGA2zAQ
SVAtWnc0cyO5apdoOk+NtIAp1qkVZC3k3WRIrack9gHB1XnVxzuUnO6NjGrcCK6GYM/U52OjYQqy
RV0Ue6PpcXL4fvWlsw3tSmADDGQ4eduKneZnTFTFhdlqCZholMwGHWbOsv6SdoCEFsu6gk40q0Hx
wOqq0w9WtQAny6vO2UZDLW9kPbbnbG7x7g6ogncMNY2gTZzhs94YyQmrmn6FCt88me7ypZnRFnFo
tuM1ONoSgXDckvuXN4/JaN/UcXEfjqMGT6bKDlgloCNYA/+fVqUA8wl/R2nlb/1q0g32WcaLLBDC
iNrEchUuOIPCZTi6LbZhSDP69VSZ+VnY83CsszjasUWVLxSSDvGFnn6gMXp0kzHaDZ33GLljcYyy
7oEIxJx1qdcSZTg0m7lYInYFo7GJQ0Vya7X80vmExkgaxS92BMOAMjFg2PUFwoFxQCOZ3NRiDJ8B
Glj3ucqxtGwNcBIH9FHU/cBdRcwlTyINDbfbfpF2tFu8qUXig4GIfGOy/rT0TU5szNtQq7/BHmZ6
NgtLbIyaL+NINs61NorwNZ2aM5f/9OE2XXOVNbWxARWvnTTpz3dDVDvHuZq6Tc57w5nv+v0u1HP9
k7QLPjGvnS8RzMbrZcLMZDdENLG80QKfAEbKBQQAgav33KR14xEQCZjRE4125Y1olFD6TY+iDdtt
NZIM2sS5851eL39Iu/E+GePprmV2i82qtoNqij65mvvCGMm6ROMsH5CuioceWeIhdOiTO5VCymNO
IKlwR/8Gve647dnRMeSULt46oksHFrsbkh+MwHA0LZiT5XM1JcuBEmBk54IxU4sK7UkvDfsum8Hp
ST9pNy1ji22Lm4xUy/Y1rbzuAKZtDqJcZqeFSeC+7ZZvGRM7a+BH+274ZQ69jyxXpE4CpAJPha7O
iRgPWhbn2zqK442GJ/LRJQp1q4RMG1QmzBGcpTwCYRy3MWk4O0abJUgplq7Z3JO8NSzJaSpL69JP
bbdNmHkHCyOEYOYR3pJ1+s0e3fd6dvSjHPvsVJoLO6KcRG5PGOdOWz7Yk/ORTJhgsKNgAWDPUtba
B67mi683Q8DaJyKRcTSGTSU4UadMw6qka1sWFM7eBUT9LXS88M7ImuFYdXq51a3xemnCPXWEgqJZ
0R5gUQE8FTqJbnJ4lQVzcAyZZtCVw7xB6dwd02o2tyPpVj6zWINAJrZJN6PCrYq5vavy9kUitCto
wSmxeFHv59djPc9XOMiffDb5O7qveFsk4Mz+Nd2Kxc35N9VA+e2/mOt/Dgl56Y9qAMogWxPudVoS
jyGcYv/9rAbYggIr5BZm8c7qlQri12rA/cV1dBMCPfc91TAU4N+qAecXwgEZH3qq++EXWP+oGvjT
iBDwkY9jhlYJAs06yPzPWkDrbMIySXGTfZ9ftVY6Ha0I8HSM6LjZLvwmHEbPA5CrP7xTfJ2AqZT/
w3zrrkrKvlMSsT8VIdRAuoKEGFh1PBXdSCX0xyKkdDyjRQe5MVyQNkxcGvNDj22RXPI09YwbWDxY
doswau9nwS5jU0ZNC/OFTOH7JWJDEqB9+NRquv0ymzoJ5U1Zzs8oFRMP67OevpEn1jNgrIjyYXM4
lN8yrRkX5O9DEQZhZ1Q0Nl7Xb6XI/GrbzqNog95woCn3yVAD1312skFnO5ZyMRKQ5rfauSdnrgui
GGvGTjhV+aIxh/nwxmUmuz3MX21mXQcMIhi1o9nmYjcGnYlqEeH428YEhwLhnRejD1zWDc3GwwtN
UoqNqpjnfBG3ftPQc7DgJNFm5A14poOZHkyoZ9M2XqAHBITcacumbBd2c6WHRIMpW+uZvDuqlJ+N
z7xiCHKQkLAJZu8MJrE51jFZYnXBKrAZErvaZIORvMzSmO9sWbuvmCamrwSzMaPCCEGbJoaoTQ6O
NI2DqyeSUL2Ge0aLpyYLwrIYGIh0jAx9r7bvEGS51bZ3KLICM+04XnRcLp86l0Js61uPbi15v7tm
0gjWIzCNoGyJbO6odUlsHUeX7u4C71YFsc6Gpu9lQQ50UmTlrvCtZGHRBa94tNK+vE5LANbss730
MSEFoN9BiYfpMITAfTi92U3l7tKew2KeZQBeMyGxMIyzdAOqgVWgFaPH25mqLzpYvW9/TaoCGJxr
DIoOsei24jS7RqA/epXb+KhT7WyTRR2wgGaNRoAJWCSbpB96RpFW6KmMkD5l0QJS7zOOeriBlXAI
W2A6TPBCq8txPkNQoiw0Z+uEWhLL5hrXkJfSt/AyqxgHxKf1d0m0g7Y0hDz4BsasTb+GPzQMH2/Q
QQCYzTqXeIgR5pxQiRGjN3tPms76sNSHcEZ1ViYPuT3EJ4RdOSLZicfdCOxk8D5N05yn/D4g8gJx
mmR++vec7xzFf32+X5Lov5Hlfh7wvPbHAe/+wn5FIGdVGm3vj7ZI6xf6QBosWi3Hgv1q0dP93AIZ
vIpfzWzIwlHJWOq3A977heE3Zzt/qc2Rg0D1H+hdbV21c38AqFiw61CV0zwi+nFR8fxpGDXMTJY1
KllkNWj4+0m/mQjHwdynNP6RJ9MjwdHo/ltvPFmg0I/RgisgasPpUvY8wqnyDESdP9wRW9ZVu1R5
CmzlLpD4AO4G5TgQMKOvnHlUpmDNnr35xh9Eln7MepiANWkSRvZEHkmOKpo7JZXtIRBc4cirz+0a
ZNipTMNyjTf0DAbdASvk3GW94dIseYkwbsI1GLFdQxJz05EEWvKHDhyVolgUMtxz1YScy1i3/Zq0
xcnyNJJbu1reUajO70y8J54JX4tvQeIVT8Ya2shKg86yXcMcdd7Wl4ZB0h7ZqIo8ijyCH+E6pDtv
jYMkGSh+M3M7HrbJmhdpk19ZaVl/1w+kfW01ScRk4SbJ3aBiJwlNp+4nxX06Ro5tPxRrQiVSWNIq
PQANNTMpQiy9FDo0zmg2Hssaddm3LgWfaWR0M6NKw9Rwf64zvuw7H7I4Z65Kz3QjLTwNa6Ym003v
Hpwq08TIHJwD3FkyOAlY73FRj7O4X2b8CuBDVGKnA1vmPMu0gjXrRt73gfTfr/SU8VtHd3LTjLal
bwgTMJzDFAlo+OC6CZYcOP62rajGeIMWiijRqM66j2ZNGZ1U4CiWPguLGiGkIVseVtI4AF+5gTvG
nSqwtM0Q4ezBwMHgIukkLTfOGnKKoCZ+K/nNHvGzt8+aSkSN4glcPiwHbGlitahJzGrWaltLf1jY
VjtbWru8r7M2nwU7nv6M1GgmFSdEJAn2wawJvQH4RhCTLNB62aIQGzmRTHjs8TuAUmnxF26E32Pn
1NyO4LK007ovo5awfXTHuiLaqmM5dGZoYh5wo2Y3EIj09tD7fhZvpKHzOYxEVxmPnRHzBzXDlMjC
we33NtGkbwzpzBsdvMmukNAuglC3wz0QF3HWp47PkWFudAiHpDkxSjSfbRqsp9B2itvU5OOQo2y9
y4iE+9PSNNB3DAofQS1S+FFQwZTBgaXHHT+hyIrTmPaOuKJYIE5VI38PlVQ/oVx1B/QHm7lv5vFg
8P4cMKNR+BCF1r+YiUAprrdp6G6MZoiuopnvKIKZYuKHVu4eK3X53vp18Z7rzfIOkJ4dZOJ7hBhU
FSZ7JqH9pYsd68mjdbtLIjcjNtoxL8IguiQqenHjswDuNyQPJ1nQGUQVUp90VrIFSouvRAyS8KFo
WcoPTWg8bo21hMTaJNoS3bgybqK7ctTpE1kRDc9+VltXonbGW3Ng5Rx0bkoz2fuNIGs9H+I9p4Xz
mNRj+T7hDoHpyly3PcJIRN4bIUset1h72HoaY2u9Drlv2sFYOdayRSljXKEdJxGoq0LYRqxOHe/o
LV5337DZ7cnR6Rh6VXY/83yZhoXG0EPehrpZsSY4e3CNmUXPgptEV9LQkHTfsZ12fZAbDUl+RSiL
klPQq/Ubz2HpHcgxMgrULY5+xSBeV3m4vVwCIa3iHWGOGLZdNUao5LANCX0XWcPUMqvLdG0TFlHJ
yHjmGKxMFFhQEm2N5RuBb9jnkk9mTmZzgO76OyraJAmwD3WPZl8096bXFHjPPKIqNg1evOiKLz+T
rVkfEjw5bdpgS8A2miOeQfyEa8c5GuZcvnhT6H7xyTb2922W+PkGDRWhUIasWZMKiqWCtMjjLFvi
HrCcpadoDYFgwTqeEAYQDSHQTm17lRfhJWn7lbevvY5VmkRhyeQCrYlJBu90ul+MNtuluA/2maEP
Z28Y9RNGVuszWKeUzINxuhdSxVd4dg4MR5g9aSekW1hr0EVZElgxx6RfDOi9H6RKxIA11ACla3Xn
TOwuTmWdUcZXZ8qX604laqBBdc5FRsoG5bB4zTOSN0aVwaHXsvH3oaXyOcw1qwPXMbkdzPjI8DDW
PA/OHw4r9h3DuzaqxA8Ankz/hQoCiXifkYctNWMVSU5IrCJDKouJEu/4SAZEhqs6PxiDHPYSEi1c
TxU7gq8ac0C+ppGAFyOZRKwpJZL3UccASXiJtEuiKuFwQUNa001QzE5vhBGReYInB2rzsGah+Gsu
CtqL8F5f01LEGpyC/eQzOxTSVBIVrOLZcW0dtYK4FRDyKZsOFcLSx9b0sSQqmSVSIS3mmtdCGiLZ
LWkcJfOGf8THR5gknj5yRo3iOlsNf43y/jGTwwborpbAULkDs9UoiFSSImS1D6arlRAtvDyk2Av/
PaWp+bel6VuHHvxvMoJVZtFPjZJA7U0N6lIGKvQlW8+fq1KYHMJk/u/i0vohRPq1OkXYxJoCQx8l
lOGvBq5f5eAMJlBgMHsgFsHBusxg4h8Up/TP/1mcMgbgaKD7t0xylZCZ/0kOnlChaCK3d1QF3YYJ
n/WVwIPyaXSS9q6WnX+uoobHgQEGkoFBQ4C3matuQjLIBWfuagc290FrbHLmM+wsTAvBA5SBbYgQ
VsOILufURC0aQAS5rn4FmSp6la0oT25NlO7R62CUR/CLyvo0AN7xr8tV2pmvMs/SdZF8WlaYYkBq
NM4TJQqV0eJ9WZC9zEhUa0Sjq360WLWkHDMk5ClgBV0jHhoPVpDrphcND3d3snLy0/sqY+UxOa5k
bJsX8jPV4KRvFp8SvW3t6BhLNhGlXwxvUE7gOYTApHZT3up7sILRd2ewyA7NGSbsBuxen/16sj63
bYjKJvb6Cz/eyUH65TE2kj6z5FaP++S20KH6kHE/7nprMC6GI7vLaDoANLzKPDCQFivK/5psJGIH
O06Vm8qnmt2GCeiioNBqfoU0CEqNUIjunDgfL3Zfly5trMHQ20UhAkNsMuILCo72K/tpi91oOc4j
83mwC1Xo1mJrS9s8TylbATEZlE6mH0817MG5COETqUGIVs7el0iv2kdMzE0B/ccjQNxbw8RbRwWL
d40vP0BARt0Gy1mU7cOkG6PtBMg12pP4kctjPcsm3WO7tSjo1hxzWLVoyNg8C3+LvB5ni5xIPbcJ
GggQDUsgV+GAF42lgTbr96KVZnLttto4kLpKLA/KbGNwvpKJGyVPGtBIEnD1cmInZof4A5g32PIS
sujywCAWaXNFigxWbYRq2LYNGsRbzAnFN2ToswZ2Qlm8WzfF7h0r57e9uPouh3iCl321hmcuWqaD
BNfClznzCP7ZsI9L0rc4M5QRcTWZT2aKDiYEJDiw+I78e77RqXcZTKmNd27vJ+512DeD8UkbXL/b
14afvv57DlhOor/u/a+/f/36N2QHXvtzuGsIOnTlJiXaE/Hmz8PVAjgvWL2iKOFYgyX4uw6F1HZQ
C8xuITuoWFDxe+uPABQGvIERx3IY/uqE0v2D09WyOdv/1PrDV+K35bic/KbtcSv8ccja1K7jRJa3
DZvMhgMaCyripNHK96EbnUeHk5egWoOyX6oKGoUgxTRFJoW1wCN+W2uTdZWrurtYS3CxluPGxBl3
Q1IUyVORq0r2WFXv7lrIe2tRP5mVncCGM9r7ZfCs74gLo6tJ1+gDYtUSEN+ZHBuRWmw3aRj0bJSs
pWgicDn0F92YfJZn0zOxMMsB8YS+sTOfFVltA2FuVDPSx331HrLI2suuZ71i9TxQpmpgjLWXsda+
xlUtDtshwG4TW2Q0eDRN5wZpPZ7EpZluybCgNZIz1wfWIZPGJhwgpaveibknfdS09lSEpOUnhDN0
WgoEVQSTLpcLei/asJhdkgisRqM9o+lqP8ms6b0LQdvx25xqBUYkejq2pOazr/q8dG35oEKLc+lE
4sztG+7Ngi0nkGb6xFB1jDaSkjc7t/s9IDi5091F9dBrm2mWnCNBDFQV/27WGy0i2j67SVR/aqyt
aiKb+Wz6DBayzkiOw9rL8vvpvoRrh4sRTJ32WRY/mWv7W/O5wwOI0T4Sc1Zah1k3kBvZdl6ycJ08
cV+1NcbKvjWhVYKLAns5F2PVn2VRL+dEteCglOLXmRqdg6qsFwbFbTO/wVoiziDrO31TzQYY22kF
1ogVXuMpjo0GHHLXKLZNsmJu9B/ImxV/M60onElRceQKyDFXWM6wgnNCi10BI2hEmStYx18hOwC5
BPQJxd6BRmc8gbfrwO4pNo+rKD3SVTYNX7F7QImC8emxz16rYOy9vWJ+SAPpntIWikUA8nrZzCxu
PizFBmK6nd6S3sptOBjmxCBrBQkZiik0J3w2gT9BGoKuax0RW9IelRYsOrsyv0SDFe+aKJw/T0yI
9+Tczye3DZ1rvJ3hFfgT2jenMW5pinTkzqlpf/gQPY9dBzYcppr+SL+QdizHEQBIFGGbgePlgr5j
/uq2TnFO6zl8Z0hfvtV0z9dVGU4vosakMWblcQqnwYFPnlffaWG1W5iSJToCksm1gF1896CwFgP3
JJzTq6zt0le7EvZBuvhRg3yQztVSDeIENd1oTnhbQnO7WC38f7cGHaFZNcsQ8MrkoSLUBoWGbM2D
WwXUNWg6Q34jn3x6F3ZOl4VlY8F7U1nfmJMbV0Zt25/8BMlzECqQrYFZAqoYfeh2BhBDsmu3CNzZ
ecpVH8bYeluBSMRt4oz3j5Y6NWphEOodJuSeMw8iL4sI32TjYxdGdM0I4HbKUnGucs0ETZsR77af
2OM+55Ff30ZLmL0Whpu/6khMULflffOKHSw+zPPsHmon8U55apU3KpP22BKabp7Z9WtZYOWR5QS6
lkEhGUHbUHBawA3HRheB2VnzTbG4yHAtZN3fvaoQD+FAKOEWqFkqAAiMVvXGCkh/EVS3xqmN0+aR
uFyTRYNjLk8jzmgeFUKtYuRgts3G280kgVqIcZabKXUKop1GLSKCKnLlVtpNsWxNlGXJe9oaXbIt
psiyv8mpl/lVlA1zdudq9JabVgoOS5Y3VNRhTRLzRp+nxT3mjdaIfaMvGd9aUnGtDbZMfbh2YuDb
mw7vVnKIMH3DCUgSZ3ryBlTFQek4EN6CGK//l8kMe+e+BFZ3tYRxczWpjKCDK5YUjR97vXLfGeVL
qJNlv6vWAUaVTajiQJZQ+WRtmzLl8DXDedeZoH1lSj0T+Fxbl2bAYE3hqaYjmJWNq36dmWAqYH7S
lEYLfGadq8jI5wuRd5HnbxI1eknXKUy2TmTqhJUqPEoGNUnjCCpSllTw5h0jvTU6VBV8oh5hGN4w
dd/E4Jv9dZdP3X2FRMY7tus8qKRqS+HrMyYa1omRXKdHuhok1bVTEnzEhTZu03XWhDy8+rEz/dWB
fPdjZI8l+U8O5T/+6//+H5X9KvvL3xRbbzBZyr82N6tX/2xmKYkQ6NpodDnd2Iv/rLfELx41Fm0u
W3SaWk+J2n6uWixSKUx0c8DqCaGgqf1t1QLg3gAWyQ/06ZFxyfyjrHdTddn/WW+hSVYGa1CWJA2x
3/7Peqt2cfWLMTl0bHIj9FoeDIvFZYOoSKo1JkR/M6T+yDh8Ms0gq2o2787CmgJ1HN6PrO/Td1T8
mkpTi41say+aP2zbMBIfQo7gZwvdvgpNptbb3AWHv23raAoP+jiHd/Vce7dxivcC3OWYEXaDuH9U
Mn8S3aurxk7sAOZwcktRJfdQWKoXZ7UJACjkrBJkP3ArdHZ1GypPgVlG7jWbeBJ4a3AAssZ7QKXr
PQBRHB8jm+g9L82yu3Bqh52rfAuJcjCYyssgMHU8Rxb+hni1OvTK9eAq/0NWYrULWuWK8FaDBPP9
8SXnFMw3bet7u643NZsRvTJW9HUc3xCATgowrd31pBwYJkAnmLO4MnJIFree4RkvbGrzPdkTYkf3
Oh9D5eiQ/aR9TZsw+5bikfrChNu192js/K9Avax7lhaA/SlUXsbVLiIHH+tIpVwkvZdnR0s5S6Zu
ad7C1W5i9BA7rtAA5HsE6QQ2puHSPS9SQzxDzt3nOkKCGIRVmBPXvtTLXZHy6fQeTK5NYprNOTOX
c9EtZQwKkRGbRc2SHWgv/U9DWS68CHkDQt4EL6Hbt50K1mMKt6sAg14KgB43lad1W/ZRHVyVjN1u
yhYBLRbhyhZ3Y26+pZNbnhEK+d8N6LvbMYuSm9J0QCr6s5tuF8+PPxZZag9eJtn8IDfzxoD5tJds
iJTHMDUNevZMWGJcbQ27i65LXJDv7kJiqZN3FQmUqNQdRFustRF8jdp4nGJmjcE8Yt/cltroxuiu
5iXZWm1U3y4CfNZCN6zbhxiK/bxryGMOt8vU6+EJmhypyAG6OJLPNpaeh28u+XTzs0DMjIIwh+Kx
E0s/DYA/TeTX5DcO4ZdE4IHdLcZQf7iK92n2A5gOxQCdVxzo5NXEYefGci1IBJJb+DA4JCcBc2zr
rEhRZq4jHHU4o60ijrorfDT8ASJdoaTMdQCULpkd3ZiKWhpJWRTXlO790TNYnFmKb2qtqFNNM8Ge
AmOQ91U/on61FRW1jJEwlEhmtBxmKhLw+puv6f67XJGqlaKr2u4Sv3k6dRi+Ic+/i2qZ3mQ4Svap
qeCsGo3/2WrF0u3IbNlaoYsjOFyJriKCnDOtoNeJ1VR98HC3JgFi02/1CoVNFB8WMFn/OQKhxWyr
LixzWyiWrK6ospleuE+xaKhgc/AmiBYI8742ykI/2GXdvtaOHMqjn8eTfmitfCSF2kTq5yG62zMj
qe7iRJqP/545ArfJX19tV0n0t2NaXvzjZqPzh3yhA6XDRYdX0+dq+TGmRQ6AXhuyMVm1BuF1Lq/5
/WYjU8lRLlLdM5il/uFm038B6oj+nOuISHooIP9kkPDn/NrfnaQIGcCDuEpG9v72kJSREnf9v7RS
4ucxPTWEIO+B0AE7d2twDoi6N6mXRelGRJXJd9Tzhq0ZLxYodRLlvy0Ao6ptmA7+B1rW9kHvRnEx
Rmj3FaX7qRRoMMl+CU+q7X1K+9G/SHxl48aZfD3IFmPZGkV0gQGPpmpsw7G79tyivIsivc8PLcyH
mawN7uLdTAH3nAt99lAGj6zlkFgVe3OcUFQN+GC/oIx6ag0/qrhouuatKerklUq8J+M+Di3YR313
LX13OVliqC4us4QScxvh0QFMrumORejwILPRY/PapYNk75WkJ8dwbXOjlUaVALoiyG230Ak9yUk1
6Z5Ve9+YE2tHeoD6IcGAQSk7kKeC6LZ6zoym1Z+NwZq6/dRPnv1pRuL0xsS0vB6IHTH3nADTxpwq
HdE9UQ72jgDNSO5TGk2ytR0nn4HRcmwHUuv0r6E7P7vlMgQ+pu/n1qUKJvC0SYAV5lY4gpS0QHwy
9k82tW0UdaC1Q3UV9h5Q61l4Su+HaDw7YdhPnJt6sOw7h7SDnadQSX5a508F67S7cCUp2QqqxGjW
34tJJ4mv8DAUeAq/5LBYu6KZNN+FgjNxQXFH5BNGvsBa+U0RqSFvlHfiOK18p1ihngA8tnfsCujb
HR8QlEJClSscimboqVbAKLonWzXwstiykZLPUcKaMmgUZgo8gv1ICw17qlUYKsGNeVX4oKmY9VYE
mYQ5xCqRzeU7R/hwpTk9u+0u5rnbTYTBuUHJQImFuQJg2SsL6/+Td2bLcVvZtv2VivMOB4CN9uGe
iMpMZMNkT5FqXhCkSKPve3z9HRsUbUmWZMuse5pbfKkoiwSYIIC99lpzjtlKLJYlAVlGXLm3xKFo
NyUxBDUqiqmiLqrTztevg7Bup1NVrpcDEmSkcH2e3GHUqnEg2y3uJGBs/PJkPucAiOX6S1p7+Gux
LMp1g66cjR7wBLlmG3L1TuQ63soVvVsW92RZ6HW55ofL8t+D1PhYysKAIPoOacpSL+TpaKKDk2UE
diWU/M1cj55apr5H58NKdomsO7hnZQlCMdJ1dnXaLAUKpkgqSVm10N+TS/ZSzNBJCN5PssKJZK3D
e0jmVMsKaAqaZB9oXX/MpEF3XLy6ZLvh24W2gYe3kXZemG7TO3y8zi3xjPhWx94A7Bk7eICztkXm
AIrT3sSE/FAiwXS56qR1ODagO4rMMR9NN3F3prQYs9nEbDxo8W2oI7kjKafFjLz4kqPY6i6IdDH3
rW1kV4qGgdnmSblAN6ifZ0BcT+oClV0vPc+OMmWXbMyci1E6ooegyw+JdEm7Q1P+yhZW3STSQ01f
1H9vS1911+A+rTVg8dhDB/+qWyzYyWLHxqT3gXH9sAsFFNwVJQZV0WLh1kh5Px2xgiCTkh7vkibi
x1z6vrH2prwh8ILr4TB0q0w6xJVQmsXjINctqpzAfBxHQ/csA9DLioDknBRgaTc3Q9W6SoMYE7rP
tQex6g6Y7qRLPQm6hFbh4JRPQEOsX93EFvezdLar+pBfGbGvn7OTR9CvWJPUJWlWd6kt1vgQmtzJ
LP3yqnTOoyMcz5PFTh8hNIAaIU32QvrtncV6L6QLnwebYUrezXgmBunTDztSH3DCBciY/Mo9mlaK
pd/KKKRa6fNvGMUwLZvxelxCO8eolkZqfz1EEci8iQ76ZQiAgGSM0gnuWoz1kuqE5FPjseAbCjsA
h5NnJULdyOA5YksiavpA3XCuTZZOljbCoBvFF4OnuHN9mbLbuUL3yAxsFJ0iPBfHf7wpGAU9tq1J
YEUMve+0Bc5KM9e1RwtuKj8STq36iEnJ/aR3/nfYuxs/FMFDB354+q4nTv7sp/pGY4POBhtKBoMR
h5jbl/qGyoc9PdWLbgOhft6ev9Q3iCQ1xhYuEV6mo7M7f7HEuYAyDP6rg5GNkkSDf/YT9Y0uY/M+
37hDJXNQv6N5kSY8RjpfbdxjVrKkJpHcjoXthW3F3Q3n96hrI2EOfZqBFcjo8g2wuDaN6B61EXN4
rtv5ua9l4mBPwtj2KNlTBGBTvSOIynxbhqI9z6EpHITB/7Ubu98lGlFcKJZZEnN4k2SwtcmxRZdz
qKEMVStb78u7WSeaaqVpDZolTWnPpftoy8RwAJKUxuquLIiXakA97maXn2xKk5gYww2Z3fC68Nq+
VFcTrKkHsmk6ImpTctSSobgECPmAwe6EHDrSc4Baav0+lMkpk8xQSVGTbMA4tSuNRhzzkZ6YJpm1
AljGXiWDlOtNyn2jZM42V7vOq4ZCTgdwaRVkoa9suhe1JKR5YZwPK4PdyMbM3ZPegIPIbGhtzAM4
MhnzkprDG9+YbyZa15oP1zgP0FE7vJ89O3EjcMVOuZ6NoToS73CHxlbl1OFIwRKpm6FPC16cYbs2
kUl7TlC5u04M0z4TfbxXdALSMsrOLUFt5oqI8Qgm/qRsmUjB5TLiy2kwFPIz4pNYSS5mhUT1sD1x
MD5togH+gMabGfpS0fOS8MfkrnDL8j5SKftUBMB4sMomPFfDgl4g0R3OG9MlbAlIJ33YKYMnm0v0
YTGSVTvrde4pogDE6Av9KfWb5mhKWuI4tu4aQOz0UVdH1/NHNPoRQF38TF0ZrgQE1supyT+C80I6
jz51rcYjk6EGCmPjdK4XNQhZp6p3DwHCsl0TzCaTjJqEXl6mMhBAAhzR86Q3AOkQ60a6CI+KoaRQ
0KNcvQpibFhFLkwJALtW6jp/IzCJn+QSCjkKku02+mQFe2Ma9LuJ2fx5jvQNL93CkqSVrl8pC2Ey
hV9xRvhicGSDcjOmuMrbNDsBlJqe2gZO9qGl8RUFJAx3YGRWpFO1uzSmpp6j3pxWnU5xPMez064V
ssHed53o9BV7+uR2dgcNW4g+UOLlerjVkXEc2tRv9zUXf12ljX+Tzk53jszeuJZ+r11pTeU+p56A
wG2FxiOeAGgcGqOIfTt03Z5s2vJUt7vmuiid4sSaSMjKXWJK0zzkgcuCagB0HvunSBnccx+C6CFK
p2nXRYmKrdKft6nSjmuzqmtv6A3EyYn0VGX6o2UYZbMbSw15Hs4vwFwdZcU0kwNzdE1ZI/R8NNAk
xXBPhF73mLvisW8SZknU2u7pEEfNVhjxjK9MtMUlgnEClqMiz99EedzSrRl9oMKt34F5xyN4P2A5
PSRCwTEfCC0wV5HLeGVMg+CmZVhBwW1VJiMuUR38poA6gzjS68McMiCmnk3aKcFF6482O/xcP6mb
0NiAM1DGVRdP+Rs1rpODzrS4XhnjFHqN4aeEaoqsR0jnMxpE+nU11Up4l3dmc1JodEcIgwrrWwqk
8QETPJIweovlpoVQRGlRmXScBMrglQrVlHefPxbVpgyRPeziyMVCWYOga7qyPM3zMjoSphDeCNSK
11Wq0U9lh0DvkFAQatfUPMfArL01rKpYpbk5XlcO8kTy6IQTbf5t+hLGD70N26fHp/o+/cf6npAB
/vfNU11HbVFPrNdfc73lkZ4XccRfOuJreFf0122djfnLIm79YrO4Y2ERiMV0eupoGj4t4u4vBD9h
jzBYsNGNLZCsT2Iy5xeUCSY1gbG4wH5uETfkGv08NJEQcmSTS4NfMziXqwLfkj6Iz3oUZJwYgRvn
Xg2uhcSZaLTg/FUCcY7TaH28BXiRpDtUbXZ7YhdCeXSgUfnrUU3MeT9Nvvlgs9VuaeC1REuGYTTd
smPHdqOh1TrtXLNs96jAUAdR3jZbc8R3Ga7Gru3xVqTqWW2r6MzEmIZ3SAKmY5dGqAYUHmetGI2n
fJhDAXcehxXCrMC4hWKDLArgaI3eFfebM512oW6F2B0YdxP0mE8Q3QZ0UkkN5RMjhb94Knol0PKj
4TcuW+5pqGZ+4udv+/+vWbsg5H/QtFvddx/D76t/5A//VtQuScc4OFEvCqKuXp4Hwlto4UHQ4LZX
eVY+w9BowPEpM3VylVHmLDOn36taRD/wYuh90ASUxfDPVbV/MHeiK0OXREaMDWhXOPx6nz8RaTQZ
lqYPO0cQOAL0TM3fQSs0boPGRl5Cx+0aHo4p9qLEOTbS5ZrPXU2rfYx7aveBQqYxT7LEsY0VIQxp
fqDTXw8rXYw4K8ukVov9GGhKtnPqhn+NMLMQ6UsPs/N66ePjnu3YhFsqHRmmwn5/0izc0GbW4cIH
zFwa7Bbu5MVYLP2NvRBHQwkfnSWGtFqIpCjNaxhlcqVAkazpe0MuI9qyolg+JdtmoufoX/a9QJIu
mPwru8oNrMCDcaFj2Hc0Q2wn2x0+dLUb+KhshvZo5EytunpGPRAzwBFeU1aMyyTJ4cBWdB4gn8oV
18Uzmr2hbWOVe4NQUWvV2wO6/GhZz325tDM792njZXaNKCasm13VmtPOGvAAEC0atBeIwWqo92Xc
n7QltQN1Y1KeQPtGeVEq5aldRxOsidAfDQ/0+Yihlf6cZ0SquImzIbZ2edK6jRe3mnjvGpDovdzv
XZ9YR9U/mrEGYHLBgSeSDD4FSQL3FP0WOiqjYyPjIg4lKBiiuBlWBt0ZrjyY/0r31/hbccJPyK/t
vS+p5Irkkw+SVA6NDrayuwDMC9H4j7Ne1e+yZ8A507TTFuj51IXY5JmYgULXJBUd8SKAdF+y0vsF
my4WhDqOePt8lFx1xbLJcISUb1ebjPgurlFDF7JaGpLz0pxMGfyuQUTHiNuX9mU/dPoMtgxHMAp/
t1PhEIEaOiIBpQ9KJ5PYb2Ppj1Jnz2gxZNt0lO0Nz5os94r5YH7vRo1l3JBZMjRblYwX9Q44e3Gn
J30Ao0x2ZgNNKy4FJIqThMzLR0RiCFQn2c5liElnNx61MvKMpeNbDlV8gHJKH7jjGtETlu1hKMUg
+W2zy6EadErm6bKVbDXR9C62YALBAqDTrLjIPolFi95VSyN66UmXhdnRxlja1UUU5ttxaWInS0N7
lL1tknIsx6uWljdIJtrfiTuSoLk0xfOlQZ4OTrszZOdcL+YW0IqduufSgnRr171/KGS3fShC60BX
CBswvanz3qjqa0X253PF9YuNarT9Y+aGNPDZfBOIsLT1o6XFb86xfxYXJJ222BbZrwUlr4SpRnxG
28SRDRRyUwfrADuXvoq69Fg62W4pZePFX3owLaFmhjctvZlqCMsTWmyP4Zid14R+HwGpDZ4umzls
QOjrOLLFYxOMSLAsQF86qHVZFJt56QjpS3eokI2ibukZZTTt73gpk2EzQVS6HJf+UiZbTfjs6Dox
+1KUC0rgiBQlH0z4jYDw9zZxyapZEShrbHkqpL/NVXrzYPK3f6sufEu9ad3zvm6aZp8YOJiYgaY7
s0lRkeDzeSqH2qx3agQvsw5L5ZqdLsHftKJ8wqXpbG3QpJfv/DlmD5OkVn4skeP36yqc8ISx4WR/
I+xJjXZWSWAvUVzNnnitfcmDZK0VVymrTR2oMps46Fxir0PlyannWlkF7LlvTT0k05rs8rdTy4P/
RuEAHdc8ophxYwhYRx+Fs7GywgBPupGZ7E3weWGAz7mL0dTphZfhJ0IXY3eo6vRkqobtUBF7i64J
7t06UmyQX27aVBW1OxhwWrzafBLORXcbqkaleMbkDPUqHEI1/veRvcgS9fuzQe8H+Aj5k881BpU1
9SXrOIs4izUSi5caA8wUWW0wZjXLJE5Hl7qWTzW3/YvJGFE6yulrYU7WKNQ/1dxQ8AyCXPAkkyaG
Jpjq/ic6Z4bGSb6qupEXg6tClUOZLxU0X9QY7VT6eTH067TWsxNmP/NZbYKlI0WN+YIKuPk2neLs
WA0fyeY1WQTguFW2DG1jhrdpKz05c1N6GStf1PBfKicqt/rUSBbK3L6fCqtPPNGYtx1+q57JgRIF
q6gnNHHlBpFL2qWbadsoTwg1BB037WoLC5tHZtvAGyxCCSOD37ojQLuZ3oDe3HRA7G3JGY8P/uAA
cHMYyXlB0U37Ynay94UwER1TobkbDMTWpia8mNUnSUqewcm+EEGeH6sMIkJWT+Ql+2W/4a2F8Cs0
EWcUsXrjQ6I6krmGHi2Yg1MEuqUKKSlFY1eRu06h425DNLcYNAvt4DuDChWe1t5bKDa29EhQoCh4
cEdw7eG6lPlUrkyqipbQKhHV9rxJZZZVuKRayXyr0DIJfa+mAldEJxOwTEK7TujDxHTHMtt4p2CH
BKghc7P6XkZo9UqWJBejRrJWvoRs1UvgVkG2+3mO5H1HzAuBXJRiI/oN27NlWpcJdIATyAyvbonz
6hQFyjbFzAmBYA7XCf3CyUz2ykiyAnlg+hINNi8xYfEgiPCLu3R80GSOGMM2IsUCGqM+IuHJb7bN
zGRZjbXuAHNRPWoubB0/mkpgDA58ocJo0IDTa6R8aIH1jdVdWGWF15tFTNhXqUt218R7edLP/ZZS
J/K5LUha2+dq/tgmNriMbs5wVZbWLupIAhzT3Dka6GfOqdVTXo6lrRwI6ZkvBl29tav41JyrbMXy
Yh0rZhrrqs00T42AiK+cOergCWOUTegP95p7WUyhys3p6Od52YX7gsbYRe4Ig4KIPSFpAruwMa4q
wH37xiei2zRnkDtZ/oGkcuQiIdIoc2j3fqGW92kwQOPSu3ht5n74EDpkq6gxWfZTSwP3posb6yYq
/RMxMUeXUamoPsfEsyoXdFvqk9LS9oZ2XSmueNN1s7jugQXtSKC0rnOWxUtku+7pnKVhiZUqDU9h
0od3Rk8g/aqzehLlxtY8G7Uk39lT/IReUrQb3Y7e1G6jX47gMnBTx2I9NwzMxmE217WN9RXtFMmE
DTwUx6IKMobePNPdChBlnlSeaWVneoDpKHSLEqCyoaIIDvVLfUimvVDzBuJYGGTlMSJiGcdv74qD
Hqf9hgIuegKqQVqiXYkbLLj6u8yo7I/kzrhvINBMq3GeDErt6QOe40NnlCCxShiNtgEUmqqEuC63
r5z3CpSDXQC4CQ3e3EO7NLwgbPaR1nxQGyFW4fhgF41nu+jb1DbQPjR1OW151jZpOd22CqX14D8S
ULBGmT9jNM/J94OhANuuGJPN1InLmk3VarKLdxh2yHdq2sxLGUCvhFXDv69ncdlp+a/a1AIXi+iR
hrEiswh7mhL9EZpHcVq3g7PpDCCPuIyKpIVVI1SHnqO4BD9xYkThU5mZYEIGOn9pA387G5rk0nWY
d6k9fuykVbZhIsg+iZwjmIfcoxS8mVr/UMKkV5v0LoUfStrtkXYxY2CXXqyq1cbKKer3qH5LWOAO
foaSsSNMTzWet0RXXeEKg9uL50ibkeeqeb4OQ8nkcuxrWYszkDNPfC1FwlCtBGK7lTG3dD2hRqxd
lZZ1Frlb4K1v7PzWHtubxG1MUAJTDYLNuena7EOXDlvTqOYTgCyXNBi35BqcCMrQLgluGdz7MAd5
1GcEuBv6L66EJkQ7dLjBWz0zoZsO9qNiY8R2qWBho2BPTkoDwUlceHXQ2x8Uayg24xB+6HEfmDi9
xyJbwb9JjqE9BCeGmFoPExv6r972acpXxlmQgPtB5AJPQHOMrZJl0X1L1PcaLJtKFmedev7gGtvS
9B1WAzffxEronNsD1ZOeVyTIBdrsjaZO2VqaRDV3WNYmO+3O2LaauFEK2xsdejhmPN9kfrZNMoBq
2VS3535KTKkwyAaZ3b2eIaLsO6fdBGBtvJpYFgwf0E4R75/k9ZTS0R+mHcEF+H3qVr8WCkGeyLLh
qdZdAj0GFs5mrgb1foqm4TroHLNZQeDxFXx0/Sw2TdurB7PBN7bCneCui5CH7Tyg6/xe8V2XutQi
hSF12b8RFHxB+MhGQRuw7urJIAbDjXYTjp/dz/ei/peqnmVi7w/Kv4cin37QZfrNYya7pAYzcOIE
qAFtSr2XCpAyTzgawGN8ZnIU+rvHjKoR1NgX89HfC0ALh490rGkaUFHX/CmP2dLZ/aoABDmiUZxC
FFLhicoC8bO2q2W3U9GRZ8EM7NeBQdy6ztPoLtRDFb1tEN7R8RxgVYnw1Natj0oR3Vq1dQbUcp/B
GBY4SN3cIB/FTN9OoioTts5thwsEZjcRfPme7PPxIssZVYT40pSwxY0fOuwSq0xd46v9gD+22zCs
eIuuKNhkQTkiZnHOBiJxvMQsw1OMahkPBzDiWNflBih4a/AYb3oIxPtZsL5kKu6tCCHv1iTEJ0eu
5Fa7skXDRS3wscrS20mt1O00oko2/VBZ16BZzguYqOdUmsF6Rmy94WG/zBqK3HUMPG3Lsik8LQ47
yBh5cETVDcdF1Uh0m/hNgAcQT+/o46azDQCaVTqwVEz3PlyJTTiZ42ZIy2jbq5F2k7Z4N6DMQHPs
loGSD+zDQOjq22LeAdSQ8TvgC/yunD+afRk/IL8QHVtPw4Ez4pofKJJGHm9F2ZCHY5L67trEHw45
gedmf4XBKL4qTGCZs1Xk11RYUFOiQtsBpti0hv6uitwrzLh79MuPLeBI/GrJZeYoRAtPUK+Ir6tW
SkSzukpAWGnEo1h8piYUD4ksBGdhNBvNNDhYKpS9qGlQDVYkeOPVOlx8kIZqDhHRychnVCywnBH0
xgIx3lk3zQ9OWDyEkBlWWq0ffJXOBdY9kx8mRIoVqV4DRuTlZ4mLOEf8Xg/JCAttwB1U0Z83SzyE
kR2rONLsE3bnhPDlUwafOTJXca/EW6t0nqxEu4vT7GaezSeSFDUaYTYj1RFBGUS5acOs69RHW8gi
Tsy1Yx+6djhHfth7jCU+9Fr/rtQH94iHjWRCEhRWPv7EGd0hkN2q25t1Wd6NbXBho3Nc+0I8DEb4
3mzFe0Vk1xmtZFILsWMlhtHtKcPLVaprEJPs4Z05jdu5gDUzFVmybYGbHXTdfFfYjYqXkC5gQJgP
V83Ztmb7AA0XNqero3jqU/UYcdcey66PHgtDaFsxaCQ/AGvd9tiFyPkrKRNEXdBq7WBGTEAnZ6tz
GGlm8RUzPfd6sLNmW6X8a5RP43srtvSVbpramlAjqqXeD7sTPbP8aeP0unNaG4WyJfRNm2TDd4jp
IoYQrA1GpzrE7kvfTCDdoDlfpdGgn8+1xiS8FKF9PfumvfaRntIKbMU1SkJSetg5toxRuINRger4
c0IUfiRXt0a64oG3yBUq/bdxN+DDpIkpnVQZ9Ccr1ocVvjSxIxWlvu1B65G5Y+MgiiEso5zsmvGs
FiLwmtjsTg36vft8jKOTDkvqFSJutj2iANbKu9iFNqrNl27kaudTRtyyS7wrf4bI8sDwKPHRDFp1
wwSUmJ1Ur/ctHcBCr+OjLcwJuiHPxz6IohFrQhSdZ7kDwNg2W88c41/rasD2kJShE2wCjOj+arKS
4YZ3xHDjVO68r1TfuBNowI4mgdz7zuiaTWYYidfiXTwp2iB8F3etcYfP9OO/z6rLKvj9VXf1lHc/
0Cvxs89tFxfKppwk6vRdBL0NCeB81mPLRRdHtzT4sHwaCGN/a7sg1cbSTa+GDgujH/hAv7VdrF/o
tHC7Md4hWc10yEX8ibbLH5xGaL0NlW4LY1V04ZaOUfyLVRdXXFLD0IZb0xVe08fxWR9FZbvO+jo6
ZtwZ3QoSwgfRKnmwEW3nFJ4SCEVsXbgvzdqWaWANQpNqzSOYlachgfPXbZA3b0dLBUKb5mXQvLEb
071Xc+Bda3ZE5I4JcPH+ATa+g0JPTHm3HZacMmhuOBTinFbrSRkviWbKEm+WLVFn+RJ7RnxLIX4V
iJhDL2XF8ohm6fYtCB3zCJ4q8Wxa0DtnAXP0C6ND0jrCBdwxGcZU8kb3Bx3RtYR7GM+kjzSR2I+A
VsIBcE867hqlD3VPaDEwoaAwkDuKwZr6M/RNZLYxr5vjdQYgjJ49ET/qukeFkX5wFlzCsKATeLrB
KORqEBa7qmdffMjSNN3Tr1LyHVuyYdwGYWLCrsojM9kwAWsEbzUD/C+vhJJWLFE2ayjiZL+OMXjI
TYIQ9S4yA5NNQ6mn74ZcHdJN5YZgrKMKs6eDrfA68PlkHrAtlZifoaU9ERN56KUlxCgQmnr/Fl9n
dcgsmiakze9stWW1cpBleH6Mj3UVO2YiPEcxsaXGhMcS5a6E0U0bucqvoq9llxioBphPHzcZ3KuS
v77BPDtSkrz33FbM4qJvGnPPu9ZBYM7LWpOvbV2+wC0Sd+oNCARe7kLrlW1S0EHIRkOZNphz42g7
5cH0XmmzgKIGCuV1k2bjXdco6jX28fih1f3okb064wk8RsYdIlJbbExumW1ExPTFYPvxCfwaeKP1
VG+JabQeXABVp34OFWAd6BpthbAcq5jomySkrdVdMS8o9kEXgnMOg1uTsmzvam2wHrUs9WozDq7D
SvN/1dxKnGm19nao2o+JWqV79PSoV4YsXBetVXqDhLfHplkc1KY2tsgAtENchPfsBdmFE/i7n2v9
nHZaduka8bQBwPnRja30Rp4Wue3HMtDOkhIgZ4w4YVuXXXSqZOGjX5tL+aiUfXKoLXy6DmjsutTC
npCnwr0yh1iL13E7B8d01ieqznEeP8zNWO8YumWZJwd10AUd/xCj3X0L7ZVMnoz2U+Db7QVgphi5
EimneeOc2chh6lUvoTGAB/fu5PRE8XXKztAnINqw3Ou3saGBErTCRvKozW4dWbRhY8cYN2VNdwOL
9G1WxgzaKo0n2p2T5GpoGoWRW86LZg7AuUBbWQcuMjclE8Fpmhn8GMr0iy6s35JfQglW6hO1YI/1
oLAc5Z0bDPlNq5tnYnCnLal54xpqfHEX2GW6VdgiB+nkl39DxPD/auP4WWqw93VQ8LOD91NS8KXk
H78p/t43vSwQMnL4jwf6qXBhINFfLorL8ZZ44x8dJwUX1naPpBdbiBYsVxXaElEhYyr+4x9pkQef
/lmSTm3pUXr5Z1Y+FuHPrtMfP8D1U/NVrvLf+54vPsDHostbmdkcoI5jMf9dzGR/vRv/ziX46gi/
XwJCklWVtQgg9/MXB/zsEti/yKuCXOfln5+HP//1l+C7QdNUHybu4VfeCei1wYKZUuX11efHgS3Y
e1AaPX/9N90C3/38SMIsnYkXv/cXBeJ3boSvjvP7jcCzYJIh5YImeP76+kIYSEpohTAkWb7+u56F
rz7A788CMjy6SaiBXnkZdIw7moBq//zFAT97HqxfpDCfDC6Ca5av/4HPA+00/fmvA2Xh81f2T70Z
AQfgbaDgf/7igJ9dBkBQTFtRe9GjW76e777/Qa+Fl8fitfeDyRLBjshCIPqtC2H9Qm8QbwXf8vz1
E/fDX7havy276zBKH5cFN3pqlr/j80Lzp9/wstz+8QBfLSNffOObqXx6PvTz8yX//39+8eQtq+Bn
//iyKi7n+fTjnz7gH0/9xblePtXLf9xHiHjrjyGByqzT06df8/w+Y8G+mL4RToEO0eSt9bIuypP/
n//44pf97J3ww6Pjjfuj64fDPz9Qv3/av3f44wDe8lvHh6lhSzny8nn//q9/vH/svgUc+W2FfO0J
1gz3m38seYbf+hhSQc3j9tqzrArSWb59fHYZrz/+P/P77OFbf4jfFpDXfoIP99mv3/xTf3op6dSt
rz3H++Lh6eUoUin+cmjeP6899Bt+94dv3Kgvp5AznFfeqjdFUrTf+CO/nOJfcBstt+mfxG6+8lNc
Uj093Xd/vFdfPgaL5muv1J+n873yQ1z8aeDPK0/wFxInXnuGvwQOfuVJTu+D4vu3k9yKvvZPfSyC
709OpXnz1Sf4c/7nKy/SEZHAn0KvXn2Oby0Pnx45SSR97WX6K3iTV36GQ/b9l5+QToxXHv8vGJhf
eYaf9lq98nxeDgTku29auft97TXzkqj9/vMnIbivPsOfaWNfe43+gvjilafYPKXt90sD41+wbv+F
WdYrP8PqfnpKmx98in/Bsv1X3Fav/Bj/TEDlHx6K7LtPhfmvqJYf7zHefv9imf+Cjcs/H6IfnOBP
H+1vbTN/69L+cfP50qH91o99ubOW3/Exfbqv//P/AgAA//8=</cx:binary>
              </cx:geoCache>
            </cx:geography>
          </cx:layoutPr>
          <cx:valueColors>
            <cx:minColor>
              <a:schemeClr val="bg1"/>
            </cx:minColor>
            <cx:maxColor>
              <a:srgbClr val="642238"/>
            </cx:maxColor>
          </cx:valueColors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1.png"/><Relationship Id="rId7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10" Type="http://schemas.microsoft.com/office/2014/relationships/chartEx" Target="../charts/chartEx1.xml"/><Relationship Id="rId4" Type="http://schemas.openxmlformats.org/officeDocument/2006/relationships/image" Target="../media/image2.svg"/><Relationship Id="rId9" Type="http://schemas.openxmlformats.org/officeDocument/2006/relationships/image" Target="../media/image6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4</xdr:row>
      <xdr:rowOff>60960</xdr:rowOff>
    </xdr:from>
    <xdr:to>
      <xdr:col>21</xdr:col>
      <xdr:colOff>7620</xdr:colOff>
      <xdr:row>35</xdr:row>
      <xdr:rowOff>114300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A0255BC7-96C2-49A2-415A-86EFAA6E4F00}"/>
            </a:ext>
          </a:extLst>
        </xdr:cNvPr>
        <xdr:cNvGrpSpPr/>
      </xdr:nvGrpSpPr>
      <xdr:grpSpPr>
        <a:xfrm>
          <a:off x="3291840" y="792480"/>
          <a:ext cx="9517380" cy="5722620"/>
          <a:chOff x="3291840" y="792480"/>
          <a:chExt cx="9517380" cy="5722620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438AD9EB-CC96-8609-F986-3D0865EB3046}"/>
              </a:ext>
            </a:extLst>
          </xdr:cNvPr>
          <xdr:cNvSpPr/>
        </xdr:nvSpPr>
        <xdr:spPr>
          <a:xfrm>
            <a:off x="3291840" y="853440"/>
            <a:ext cx="9517380" cy="5661660"/>
          </a:xfrm>
          <a:prstGeom prst="rect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D75AF7AB-B781-C677-A0B1-C71EDE6B014C}"/>
              </a:ext>
            </a:extLst>
          </xdr:cNvPr>
          <xdr:cNvSpPr/>
        </xdr:nvSpPr>
        <xdr:spPr>
          <a:xfrm>
            <a:off x="3429000" y="1994534"/>
            <a:ext cx="4632960" cy="2139315"/>
          </a:xfrm>
          <a:prstGeom prst="roundRect">
            <a:avLst>
              <a:gd name="adj" fmla="val 5913"/>
            </a:avLst>
          </a:prstGeom>
          <a:solidFill>
            <a:srgbClr val="C28F0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9EC88F8B-20D2-F51D-706F-B53F052D9A31}"/>
              </a:ext>
            </a:extLst>
          </xdr:cNvPr>
          <xdr:cNvSpPr/>
        </xdr:nvSpPr>
        <xdr:spPr>
          <a:xfrm>
            <a:off x="8145780" y="904875"/>
            <a:ext cx="4526280" cy="5547360"/>
          </a:xfrm>
          <a:prstGeom prst="roundRect">
            <a:avLst>
              <a:gd name="adj" fmla="val 1031"/>
            </a:avLst>
          </a:prstGeom>
          <a:solidFill>
            <a:srgbClr val="C28F0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53F26BF8-D7C7-6F05-3ED0-462FFFE5763C}"/>
              </a:ext>
            </a:extLst>
          </xdr:cNvPr>
          <xdr:cNvSpPr/>
        </xdr:nvSpPr>
        <xdr:spPr>
          <a:xfrm>
            <a:off x="3429000" y="904875"/>
            <a:ext cx="4632960" cy="1000125"/>
          </a:xfrm>
          <a:prstGeom prst="roundRect">
            <a:avLst>
              <a:gd name="adj" fmla="val 5913"/>
            </a:avLst>
          </a:prstGeom>
          <a:solidFill>
            <a:srgbClr val="C28F0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627FE554-BC10-4810-A39D-B0F3B22F05DF}"/>
              </a:ext>
            </a:extLst>
          </xdr:cNvPr>
          <xdr:cNvSpPr/>
        </xdr:nvSpPr>
        <xdr:spPr>
          <a:xfrm>
            <a:off x="3429000" y="4236720"/>
            <a:ext cx="4632960" cy="2215515"/>
          </a:xfrm>
          <a:prstGeom prst="roundRect">
            <a:avLst>
              <a:gd name="adj" fmla="val 5913"/>
            </a:avLst>
          </a:prstGeom>
          <a:solidFill>
            <a:srgbClr val="C28F0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7" name="Chart 16">
            <a:extLst>
              <a:ext uri="{FF2B5EF4-FFF2-40B4-BE49-F238E27FC236}">
                <a16:creationId xmlns:a16="http://schemas.microsoft.com/office/drawing/2014/main" id="{74E43105-D3C1-4D0B-85FE-A5D47D10304E}"/>
              </a:ext>
            </a:extLst>
          </xdr:cNvPr>
          <xdr:cNvGraphicFramePr>
            <a:graphicFrameLocks/>
          </xdr:cNvGraphicFramePr>
        </xdr:nvGraphicFramePr>
        <xdr:xfrm>
          <a:off x="3882392" y="2446020"/>
          <a:ext cx="1853184" cy="13898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8" name="Chart 17">
            <a:extLst>
              <a:ext uri="{FF2B5EF4-FFF2-40B4-BE49-F238E27FC236}">
                <a16:creationId xmlns:a16="http://schemas.microsoft.com/office/drawing/2014/main" id="{AF95B799-C2DD-4589-9A4E-E30638BF044B}"/>
              </a:ext>
            </a:extLst>
          </xdr:cNvPr>
          <xdr:cNvGraphicFramePr>
            <a:graphicFrameLocks/>
          </xdr:cNvGraphicFramePr>
        </xdr:nvGraphicFramePr>
        <xdr:xfrm>
          <a:off x="5796929" y="2446027"/>
          <a:ext cx="1856232" cy="13898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9BB9FFFC-59EE-D0CF-1EC2-BD4BF54A5659}"/>
              </a:ext>
            </a:extLst>
          </xdr:cNvPr>
          <xdr:cNvCxnSpPr/>
        </xdr:nvCxnSpPr>
        <xdr:spPr>
          <a:xfrm>
            <a:off x="5402580" y="2369820"/>
            <a:ext cx="7620" cy="762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27" name="Graphic 26" descr="Female Profile with solid fill">
            <a:extLst>
              <a:ext uri="{FF2B5EF4-FFF2-40B4-BE49-F238E27FC236}">
                <a16:creationId xmlns:a16="http://schemas.microsoft.com/office/drawing/2014/main" id="{69040CBF-7084-FD41-B7CC-D00EC64C13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3429000" y="3185160"/>
            <a:ext cx="914400" cy="914400"/>
          </a:xfrm>
          <a:prstGeom prst="rect">
            <a:avLst/>
          </a:prstGeom>
        </xdr:spPr>
      </xdr:pic>
      <xdr:pic>
        <xdr:nvPicPr>
          <xdr:cNvPr id="29" name="Graphic 28" descr="Male profile with solid fill">
            <a:extLst>
              <a:ext uri="{FF2B5EF4-FFF2-40B4-BE49-F238E27FC236}">
                <a16:creationId xmlns:a16="http://schemas.microsoft.com/office/drawing/2014/main" id="{45EF96FF-C941-0B28-4419-9F3FC6656E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7132320" y="3185160"/>
            <a:ext cx="914400" cy="914400"/>
          </a:xfrm>
          <a:prstGeom prst="rect">
            <a:avLst/>
          </a:prstGeom>
        </xdr:spPr>
      </xdr:pic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234E5E94-D566-1F69-1E26-FE7B1CE84321}"/>
              </a:ext>
            </a:extLst>
          </xdr:cNvPr>
          <xdr:cNvSpPr txBox="1"/>
        </xdr:nvSpPr>
        <xdr:spPr>
          <a:xfrm>
            <a:off x="4678680" y="1994534"/>
            <a:ext cx="214884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600">
                <a:solidFill>
                  <a:schemeClr val="tx1">
                    <a:lumMod val="95000"/>
                    <a:lumOff val="5000"/>
                  </a:schemeClr>
                </a:solidFill>
                <a:latin typeface="Arial Rounded MT Bold" panose="020F0704030504030204" pitchFamily="34" charset="0"/>
              </a:rPr>
              <a:t>Gender</a:t>
            </a:r>
            <a:r>
              <a:rPr lang="en-US" sz="1600">
                <a:solidFill>
                  <a:schemeClr val="bg1"/>
                </a:solidFill>
                <a:latin typeface="Arial Rounded MT Bold" panose="020F0704030504030204" pitchFamily="34" charset="0"/>
              </a:rPr>
              <a:t> Distribution</a:t>
            </a: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224183F5-73F4-3C7B-CCB2-49168B972EC0}"/>
              </a:ext>
            </a:extLst>
          </xdr:cNvPr>
          <xdr:cNvSpPr txBox="1"/>
        </xdr:nvSpPr>
        <xdr:spPr>
          <a:xfrm>
            <a:off x="4457700" y="3733800"/>
            <a:ext cx="82296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>
                <a:solidFill>
                  <a:srgbClr val="642238"/>
                </a:solidFill>
                <a:latin typeface="Arial Rounded MT Bold" panose="020F0704030504030204" pitchFamily="34" charset="0"/>
              </a:rPr>
              <a:t>Female</a:t>
            </a: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619E1E79-0243-2017-35E7-79A44128F618}"/>
              </a:ext>
            </a:extLst>
          </xdr:cNvPr>
          <xdr:cNvSpPr txBox="1"/>
        </xdr:nvSpPr>
        <xdr:spPr>
          <a:xfrm>
            <a:off x="6377940" y="3733800"/>
            <a:ext cx="61722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>
                <a:latin typeface="Arial Rounded MT Bold" panose="020F0704030504030204" pitchFamily="34" charset="0"/>
              </a:rPr>
              <a:t>Male</a:t>
            </a:r>
          </a:p>
          <a:p>
            <a:endParaRPr lang="en-US" sz="1400">
              <a:latin typeface="Arial Rounded MT Bold" panose="020F0704030504030204" pitchFamily="34" charset="0"/>
            </a:endParaRPr>
          </a:p>
          <a:p>
            <a:endParaRPr lang="en-US" sz="1400">
              <a:latin typeface="Arial Rounded MT Bold" panose="020F0704030504030204" pitchFamily="34" charset="0"/>
            </a:endParaRPr>
          </a:p>
          <a:p>
            <a:endParaRPr lang="en-US" sz="1400">
              <a:latin typeface="Arial Rounded MT Bold" panose="020F0704030504030204" pitchFamily="34" charset="0"/>
            </a:endParaRPr>
          </a:p>
          <a:p>
            <a:endParaRPr lang="en-US" sz="1400">
              <a:latin typeface="Arial Rounded MT Bold" panose="020F0704030504030204" pitchFamily="34" charset="0"/>
            </a:endParaRPr>
          </a:p>
        </xdr:txBody>
      </xdr:sp>
      <xdr:sp macro="" textlink="'Pivot Table'!C9">
        <xdr:nvSpPr>
          <xdr:cNvPr id="33" name="TextBox 32">
            <a:extLst>
              <a:ext uri="{FF2B5EF4-FFF2-40B4-BE49-F238E27FC236}">
                <a16:creationId xmlns:a16="http://schemas.microsoft.com/office/drawing/2014/main" id="{4E6901C7-3327-D0CC-60C5-355582D3D470}"/>
              </a:ext>
            </a:extLst>
          </xdr:cNvPr>
          <xdr:cNvSpPr txBox="1"/>
        </xdr:nvSpPr>
        <xdr:spPr>
          <a:xfrm>
            <a:off x="4541520" y="2918460"/>
            <a:ext cx="716280" cy="3352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F079212-2CA1-4C6B-9694-9A242233E614}" type="TxLink">
              <a:rPr lang="en-US" sz="1600" b="1" i="0" u="none" strike="noStrike">
                <a:solidFill>
                  <a:srgbClr val="642238"/>
                </a:solidFill>
                <a:latin typeface="Calibri"/>
                <a:ea typeface="Calibri"/>
                <a:cs typeface="Calibri"/>
              </a:rPr>
              <a:pPr/>
              <a:t>62.5%</a:t>
            </a:fld>
            <a:endParaRPr lang="en-US" sz="1600">
              <a:solidFill>
                <a:srgbClr val="642238"/>
              </a:solidFill>
            </a:endParaRPr>
          </a:p>
        </xdr:txBody>
      </xdr:sp>
      <xdr:sp macro="" textlink="'Pivot Table'!C10">
        <xdr:nvSpPr>
          <xdr:cNvPr id="34" name="TextBox 33">
            <a:extLst>
              <a:ext uri="{FF2B5EF4-FFF2-40B4-BE49-F238E27FC236}">
                <a16:creationId xmlns:a16="http://schemas.microsoft.com/office/drawing/2014/main" id="{70A27C5C-6DF9-284D-EE37-A5CBA4761EA0}"/>
              </a:ext>
            </a:extLst>
          </xdr:cNvPr>
          <xdr:cNvSpPr txBox="1"/>
        </xdr:nvSpPr>
        <xdr:spPr>
          <a:xfrm>
            <a:off x="6301740" y="2918460"/>
            <a:ext cx="716280" cy="3352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C8E97F28-4015-4585-BFEE-55FB9DBE3ABB}" type="TxLink">
              <a:rPr lang="en-US" sz="1600" b="1" i="0" u="none" strike="noStrike">
                <a:solidFill>
                  <a:srgbClr val="121212"/>
                </a:solidFill>
                <a:latin typeface="Calibri"/>
                <a:ea typeface="Calibri"/>
                <a:cs typeface="Calibri"/>
              </a:rPr>
              <a:pPr marL="0" indent="0"/>
              <a:t>37.5%</a:t>
            </a:fld>
            <a:endParaRPr lang="en-US" sz="1600" b="1" i="0" u="none" strike="noStrike">
              <a:solidFill>
                <a:srgbClr val="121212"/>
              </a:solidFill>
              <a:latin typeface="Calibri"/>
              <a:ea typeface="Calibri"/>
              <a:cs typeface="Calibri"/>
            </a:endParaRPr>
          </a:p>
        </xdr:txBody>
      </xdr:sp>
      <xdr:graphicFrame macro="">
        <xdr:nvGraphicFramePr>
          <xdr:cNvPr id="35" name="Chart 34">
            <a:extLst>
              <a:ext uri="{FF2B5EF4-FFF2-40B4-BE49-F238E27FC236}">
                <a16:creationId xmlns:a16="http://schemas.microsoft.com/office/drawing/2014/main" id="{EA061BE8-0A3C-49B7-BC12-42171453A426}"/>
              </a:ext>
            </a:extLst>
          </xdr:cNvPr>
          <xdr:cNvGraphicFramePr>
            <a:graphicFrameLocks/>
          </xdr:cNvGraphicFramePr>
        </xdr:nvGraphicFramePr>
        <xdr:xfrm>
          <a:off x="3756660" y="4884419"/>
          <a:ext cx="3931920" cy="15039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63E3908D-4661-26A2-CC61-74BB7B16E47A}"/>
              </a:ext>
            </a:extLst>
          </xdr:cNvPr>
          <xdr:cNvSpPr txBox="1"/>
        </xdr:nvSpPr>
        <xdr:spPr>
          <a:xfrm>
            <a:off x="4381500" y="4242434"/>
            <a:ext cx="270510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600">
                <a:solidFill>
                  <a:schemeClr val="tx1">
                    <a:lumMod val="95000"/>
                    <a:lumOff val="5000"/>
                  </a:schemeClr>
                </a:solidFill>
                <a:latin typeface="Arial Rounded MT Bold" panose="020F0704030504030204" pitchFamily="34" charset="0"/>
              </a:rPr>
              <a:t>Age Group </a:t>
            </a:r>
            <a:r>
              <a:rPr lang="en-US" sz="1600">
                <a:solidFill>
                  <a:schemeClr val="bg1"/>
                </a:solidFill>
                <a:latin typeface="Arial Rounded MT Bold" panose="020F0704030504030204" pitchFamily="34" charset="0"/>
              </a:rPr>
              <a:t>Distribution</a:t>
            </a:r>
          </a:p>
        </xdr:txBody>
      </xdr:sp>
      <xdr:pic>
        <xdr:nvPicPr>
          <xdr:cNvPr id="5" name="Picture 4">
            <a:extLst>
              <a:ext uri="{FF2B5EF4-FFF2-40B4-BE49-F238E27FC236}">
                <a16:creationId xmlns:a16="http://schemas.microsoft.com/office/drawing/2014/main" id="{2B951871-CFFD-CC54-CE22-23E7929D5D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89961" y="4244341"/>
            <a:ext cx="1165860" cy="853439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19C1ACF-AC2C-3E1D-3A8C-6245B542CE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duotone>
              <a:prstClr val="black"/>
              <a:srgbClr val="C28F0E">
                <a:tint val="45000"/>
                <a:satMod val="400000"/>
              </a:srgbClr>
            </a:duotone>
            <a:alphaModFix amt="36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36620" y="914400"/>
            <a:ext cx="1100631" cy="987552"/>
          </a:xfrm>
          <a:prstGeom prst="rect">
            <a:avLst/>
          </a:prstGeom>
          <a:solidFill>
            <a:schemeClr val="tx1"/>
          </a:solidFill>
          <a:ln>
            <a:noFill/>
          </a:ln>
        </xdr:spPr>
      </xdr:pic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C9C0C3D0-773F-3456-426F-F62A38D60C75}"/>
              </a:ext>
            </a:extLst>
          </xdr:cNvPr>
          <xdr:cNvSpPr txBox="1"/>
        </xdr:nvSpPr>
        <xdr:spPr>
          <a:xfrm>
            <a:off x="4533900" y="792480"/>
            <a:ext cx="2705100" cy="7848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6000">
                <a:solidFill>
                  <a:schemeClr val="tx1">
                    <a:lumMod val="95000"/>
                    <a:lumOff val="5000"/>
                  </a:schemeClr>
                </a:solidFill>
                <a:latin typeface="Arial Rounded MT Bold" panose="020F0704030504030204" pitchFamily="34" charset="0"/>
              </a:rPr>
              <a:t>DE</a:t>
            </a:r>
            <a:r>
              <a:rPr lang="en-US" sz="6000">
                <a:solidFill>
                  <a:schemeClr val="bg1"/>
                </a:solidFill>
                <a:latin typeface="Arial Rounded MT Bold" panose="020F0704030504030204" pitchFamily="34" charset="0"/>
              </a:rPr>
              <a:t>MO</a:t>
            </a: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CBF078E2-A0CB-9EAC-1690-8CF3E1EF3BEC}"/>
              </a:ext>
            </a:extLst>
          </xdr:cNvPr>
          <xdr:cNvSpPr txBox="1"/>
        </xdr:nvSpPr>
        <xdr:spPr>
          <a:xfrm>
            <a:off x="4564380" y="1567814"/>
            <a:ext cx="166878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>
                <a:solidFill>
                  <a:schemeClr val="bg1"/>
                </a:solidFill>
                <a:latin typeface="Arial Rounded MT Bold" panose="020F0704030504030204" pitchFamily="34" charset="0"/>
              </a:rPr>
              <a:t>Dash</a:t>
            </a:r>
            <a:r>
              <a:rPr lang="en-US" sz="1800">
                <a:solidFill>
                  <a:schemeClr val="tx1">
                    <a:lumMod val="95000"/>
                    <a:lumOff val="5000"/>
                  </a:schemeClr>
                </a:solidFill>
                <a:latin typeface="Arial Rounded MT Bold" panose="020F0704030504030204" pitchFamily="34" charset="0"/>
              </a:rPr>
              <a:t>board</a:t>
            </a:r>
          </a:p>
          <a:p>
            <a:pPr algn="ctr"/>
            <a:endParaRPr lang="en-US" sz="1600">
              <a:solidFill>
                <a:schemeClr val="bg1"/>
              </a:solidFill>
              <a:latin typeface="Arial Rounded MT Bold" panose="020F0704030504030204" pitchFamily="34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D3B91D36-3D89-A4AF-BF5E-A273678D1807}"/>
              </a:ext>
            </a:extLst>
          </xdr:cNvPr>
          <xdr:cNvSpPr txBox="1"/>
        </xdr:nvSpPr>
        <xdr:spPr>
          <a:xfrm>
            <a:off x="8153400" y="973454"/>
            <a:ext cx="132588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600">
                <a:solidFill>
                  <a:schemeClr val="bg1"/>
                </a:solidFill>
                <a:latin typeface="Arial Rounded MT Bold" panose="020F0704030504030204" pitchFamily="34" charset="0"/>
              </a:rPr>
              <a:t>Total</a:t>
            </a:r>
            <a:r>
              <a:rPr lang="en-US" sz="1600" baseline="0">
                <a:solidFill>
                  <a:schemeClr val="bg1"/>
                </a:solidFill>
                <a:latin typeface="Arial Rounded MT Bold" panose="020F0704030504030204" pitchFamily="34" charset="0"/>
              </a:rPr>
              <a:t> </a:t>
            </a:r>
            <a:r>
              <a:rPr lang="en-US" sz="1600" baseline="0">
                <a:solidFill>
                  <a:schemeClr val="tx1"/>
                </a:solidFill>
                <a:latin typeface="Arial Rounded MT Bold" panose="020F0704030504030204" pitchFamily="34" charset="0"/>
              </a:rPr>
              <a:t>Count</a:t>
            </a:r>
            <a:endParaRPr lang="en-US" sz="1600">
              <a:solidFill>
                <a:schemeClr val="tx1"/>
              </a:solidFill>
              <a:latin typeface="Arial Rounded MT Bold" panose="020F0704030504030204" pitchFamily="34" charset="0"/>
            </a:endParaRPr>
          </a:p>
        </xdr:txBody>
      </xdr:sp>
      <xdr:sp macro="" textlink="'Pivot Table'!P4">
        <xdr:nvSpPr>
          <xdr:cNvPr id="24" name="TextBox 23">
            <a:extLst>
              <a:ext uri="{FF2B5EF4-FFF2-40B4-BE49-F238E27FC236}">
                <a16:creationId xmlns:a16="http://schemas.microsoft.com/office/drawing/2014/main" id="{BE682B1D-1812-985C-762E-38ED2CDF7E2A}"/>
              </a:ext>
            </a:extLst>
          </xdr:cNvPr>
          <xdr:cNvSpPr txBox="1"/>
        </xdr:nvSpPr>
        <xdr:spPr>
          <a:xfrm>
            <a:off x="8488680" y="1173480"/>
            <a:ext cx="716280" cy="457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D779A293-A92D-4630-90AA-82DD595F8785}" type="TxLink">
              <a:rPr lang="en-US" sz="28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marL="0" indent="0" algn="ctr"/>
              <a:t>8</a:t>
            </a:fld>
            <a:endParaRPr lang="en-US" sz="2800" b="1" i="0" u="none" strike="noStrike">
              <a:solidFill>
                <a:srgbClr val="121212"/>
              </a:solidFill>
              <a:latin typeface="Calibri"/>
              <a:ea typeface="Calibri"/>
              <a:cs typeface="Calibri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E6977DE-F958-95E7-1E8D-5553DD2DBA3F}"/>
              </a:ext>
            </a:extLst>
          </xdr:cNvPr>
          <xdr:cNvSpPr txBox="1"/>
        </xdr:nvSpPr>
        <xdr:spPr>
          <a:xfrm>
            <a:off x="11201400" y="973454"/>
            <a:ext cx="147066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600">
                <a:solidFill>
                  <a:schemeClr val="bg1"/>
                </a:solidFill>
                <a:latin typeface="Arial Rounded MT Bold" panose="020F0704030504030204" pitchFamily="34" charset="0"/>
              </a:rPr>
              <a:t>Average </a:t>
            </a:r>
            <a:r>
              <a:rPr lang="en-US" sz="1600">
                <a:solidFill>
                  <a:schemeClr val="tx1"/>
                </a:solidFill>
                <a:latin typeface="Arial Rounded MT Bold" panose="020F0704030504030204" pitchFamily="34" charset="0"/>
              </a:rPr>
              <a:t>Age</a:t>
            </a:r>
          </a:p>
        </xdr:txBody>
      </xdr:sp>
      <xdr:sp macro="" textlink="'Pivot Table'!Q4">
        <xdr:nvSpPr>
          <xdr:cNvPr id="26" name="TextBox 25">
            <a:extLst>
              <a:ext uri="{FF2B5EF4-FFF2-40B4-BE49-F238E27FC236}">
                <a16:creationId xmlns:a16="http://schemas.microsoft.com/office/drawing/2014/main" id="{14D9B760-613A-DD3A-DC05-48A026CD849F}"/>
              </a:ext>
            </a:extLst>
          </xdr:cNvPr>
          <xdr:cNvSpPr txBox="1"/>
        </xdr:nvSpPr>
        <xdr:spPr>
          <a:xfrm>
            <a:off x="11544300" y="1173480"/>
            <a:ext cx="922020" cy="4114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3A4B28F2-BD59-498D-A73F-6E22EC7E90A1}" type="TxLink">
              <a:rPr lang="en-US" sz="28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marL="0" indent="0" algn="ctr"/>
              <a:t>15.0</a:t>
            </a:fld>
            <a:endParaRPr lang="en-US" sz="2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</xdr:txBody>
      </xdr:sp>
      <mc:AlternateContent xmlns:mc="http://schemas.openxmlformats.org/markup-compatibility/2006">
        <mc:Choice xmlns:cx4="http://schemas.microsoft.com/office/drawing/2016/5/10/chartex" Requires="cx4">
          <xdr:graphicFrame macro="">
            <xdr:nvGraphicFramePr>
              <xdr:cNvPr id="28" name="Chart 27">
                <a:extLst>
                  <a:ext uri="{FF2B5EF4-FFF2-40B4-BE49-F238E27FC236}">
                    <a16:creationId xmlns:a16="http://schemas.microsoft.com/office/drawing/2014/main" id="{243A512B-B9D1-4903-BB71-29EE94EF4D83}"/>
                  </a:ext>
                </a:extLst>
              </xdr:cNvPr>
              <xdr:cNvGraphicFramePr/>
            </xdr:nvGraphicFramePr>
            <xdr:xfrm>
              <a:off x="8404860" y="2324100"/>
              <a:ext cx="3992880" cy="3789045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0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404860" y="2324100"/>
                <a:ext cx="3992880" cy="378904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DE2C2BA8-A1AA-9E09-8DC9-BE5B56C528F7}"/>
              </a:ext>
            </a:extLst>
          </xdr:cNvPr>
          <xdr:cNvSpPr txBox="1"/>
        </xdr:nvSpPr>
        <xdr:spPr>
          <a:xfrm>
            <a:off x="9281160" y="1945005"/>
            <a:ext cx="227076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600" baseline="0">
                <a:solidFill>
                  <a:schemeClr val="bg1"/>
                </a:solidFill>
                <a:latin typeface="Arial Rounded MT Bold" panose="020F0704030504030204" pitchFamily="34" charset="0"/>
              </a:rPr>
              <a:t>Location </a:t>
            </a:r>
            <a:r>
              <a:rPr lang="en-US" sz="1600" baseline="0">
                <a:solidFill>
                  <a:schemeClr val="tx1"/>
                </a:solidFill>
                <a:latin typeface="Arial Rounded MT Bold" panose="020F0704030504030204" pitchFamily="34" charset="0"/>
              </a:rPr>
              <a:t>Breakdown</a:t>
            </a:r>
            <a:endParaRPr lang="en-US" sz="1600">
              <a:solidFill>
                <a:schemeClr val="tx1"/>
              </a:solidFill>
              <a:latin typeface="Arial Rounded MT Bold" panose="020F0704030504030204" pitchFamily="34" charset="0"/>
            </a:endParaRPr>
          </a:p>
        </xdr:txBody>
      </xdr:sp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" refreshedDate="46076.424223379632" backgroundQuery="1" createdVersion="8" refreshedVersion="8" minRefreshableVersion="3" recordCount="0" supportSubquery="1" supportAdvancedDrill="1" xr:uid="{C8E3FDEF-05C3-4E5C-95E8-BFB64F40CB3B}">
  <cacheSource type="external" connectionId="2"/>
  <cacheFields count="2">
    <cacheField name="[Table2_2].[Age Group].[Age Group]" caption="Age Group" numFmtId="0" hierarchy="5" level="1">
      <sharedItems count="2">
        <s v="10 to 15"/>
        <s v="16 to 20"/>
      </sharedItems>
    </cacheField>
    <cacheField name="[Measures].[Count of Age Group]" caption="Count of Age Group" numFmtId="0" hierarchy="7" level="32767"/>
  </cacheFields>
  <cacheHierarchies count="13">
    <cacheHierarchy uniqueName="[Table2_2].[Name]" caption="Name" attribute="1" defaultMemberUniqueName="[Table2_2].[Name].[All]" allUniqueName="[Table2_2].[Name].[All]" dimensionUniqueName="[Table2_2]" displayFolder="" count="0" memberValueDatatype="130" unbalanced="0"/>
    <cacheHierarchy uniqueName="[Table2_2].[Address]" caption="Address" attribute="1" defaultMemberUniqueName="[Table2_2].[Address].[All]" allUniqueName="[Table2_2].[Address].[All]" dimensionUniqueName="[Table2_2]" displayFolder="" count="0" memberValueDatatype="130" unbalanced="0"/>
    <cacheHierarchy uniqueName="[Table2_2].[Age]" caption="Age" attribute="1" defaultMemberUniqueName="[Table2_2].[Age].[All]" allUniqueName="[Table2_2].[Age].[All]" dimensionUniqueName="[Table2_2]" displayFolder="" count="0" memberValueDatatype="20" unbalanced="0"/>
    <cacheHierarchy uniqueName="[Table2_2].[Gender]" caption="Gender" attribute="1" defaultMemberUniqueName="[Table2_2].[Gender].[All]" allUniqueName="[Table2_2].[Gender].[All]" dimensionUniqueName="[Table2_2]" displayFolder="" count="0" memberValueDatatype="130" unbalanced="0"/>
    <cacheHierarchy uniqueName="[Table2_2].[State]" caption="State" attribute="1" defaultMemberUniqueName="[Table2_2].[State].[All]" allUniqueName="[Table2_2].[State].[All]" dimensionUniqueName="[Table2_2]" displayFolder="" count="0" memberValueDatatype="130" unbalanced="0"/>
    <cacheHierarchy uniqueName="[Table2_2].[Age Group]" caption="Age Group" attribute="1" defaultMemberUniqueName="[Table2_2].[Age Group].[All]" allUniqueName="[Table2_2].[Age Group].[All]" dimensionUniqueName="[Table2_2]" displayFolder="" count="2" memberValueDatatype="130" unbalanced="0">
      <fieldsUsage count="2">
        <fieldUsage x="-1"/>
        <fieldUsage x="0"/>
      </fieldsUsage>
    </cacheHierarchy>
    <cacheHierarchy uniqueName="[Measures].[Count of Gender]" caption="Count of Gender" measure="1" displayFolder="" measureGroup="Table2_2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 Group]" caption="Count of Age Group" measure="1" displayFolder="" measureGroup="Table2_2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tate]" caption="Count of State" measure="1" displayFolder="" measureGroup="Table2_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Total Count]" caption="Total Count" measure="1" displayFolder="" measureGroup="Table2_2" count="0"/>
    <cacheHierarchy uniqueName="[Measures].[Average Age]" caption="Average Age" measure="1" displayFolder="" measureGroup="Table2_2" count="0"/>
    <cacheHierarchy uniqueName="[Measures].[__XL_Count Table2_2]" caption="__XL_Count Table2_2" measure="1" displayFolder="" measureGroup="Table2_2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2_2" uniqueName="[Table2_2]" caption="Table2_2"/>
  </dimensions>
  <measureGroups count="1">
    <measureGroup name="Table2_2" caption="Table2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" refreshedDate="46076.424224421295" backgroundQuery="1" createdVersion="8" refreshedVersion="8" minRefreshableVersion="3" recordCount="0" supportSubquery="1" supportAdvancedDrill="1" xr:uid="{E46AAD48-1FE0-4717-82A3-82B314B35079}">
  <cacheSource type="external" connectionId="2"/>
  <cacheFields count="2">
    <cacheField name="[Table2_2].[Gender].[Gender]" caption="Gender" numFmtId="0" hierarchy="3" level="1">
      <sharedItems count="2">
        <s v=" Female"/>
        <s v=" Male"/>
      </sharedItems>
    </cacheField>
    <cacheField name="[Measures].[Count of Gender]" caption="Count of Gender" numFmtId="0" hierarchy="6" level="32767"/>
  </cacheFields>
  <cacheHierarchies count="13">
    <cacheHierarchy uniqueName="[Table2_2].[Name]" caption="Name" attribute="1" defaultMemberUniqueName="[Table2_2].[Name].[All]" allUniqueName="[Table2_2].[Name].[All]" dimensionUniqueName="[Table2_2]" displayFolder="" count="0" memberValueDatatype="130" unbalanced="0"/>
    <cacheHierarchy uniqueName="[Table2_2].[Address]" caption="Address" attribute="1" defaultMemberUniqueName="[Table2_2].[Address].[All]" allUniqueName="[Table2_2].[Address].[All]" dimensionUniqueName="[Table2_2]" displayFolder="" count="0" memberValueDatatype="130" unbalanced="0"/>
    <cacheHierarchy uniqueName="[Table2_2].[Age]" caption="Age" attribute="1" defaultMemberUniqueName="[Table2_2].[Age].[All]" allUniqueName="[Table2_2].[Age].[All]" dimensionUniqueName="[Table2_2]" displayFolder="" count="0" memberValueDatatype="20" unbalanced="0"/>
    <cacheHierarchy uniqueName="[Table2_2].[Gender]" caption="Gender" attribute="1" defaultMemberUniqueName="[Table2_2].[Gender].[All]" allUniqueName="[Table2_2].[Gender].[All]" dimensionUniqueName="[Table2_2]" displayFolder="" count="2" memberValueDatatype="130" unbalanced="0">
      <fieldsUsage count="2">
        <fieldUsage x="-1"/>
        <fieldUsage x="0"/>
      </fieldsUsage>
    </cacheHierarchy>
    <cacheHierarchy uniqueName="[Table2_2].[State]" caption="State" attribute="1" defaultMemberUniqueName="[Table2_2].[State].[All]" allUniqueName="[Table2_2].[State].[All]" dimensionUniqueName="[Table2_2]" displayFolder="" count="0" memberValueDatatype="130" unbalanced="0"/>
    <cacheHierarchy uniqueName="[Table2_2].[Age Group]" caption="Age Group" attribute="1" defaultMemberUniqueName="[Table2_2].[Age Group].[All]" allUniqueName="[Table2_2].[Age Group].[All]" dimensionUniqueName="[Table2_2]" displayFolder="" count="0" memberValueDatatype="130" unbalanced="0"/>
    <cacheHierarchy uniqueName="[Measures].[Count of Gender]" caption="Count of Gender" measure="1" displayFolder="" measureGroup="Table2_2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 Group]" caption="Count of Age Group" measure="1" displayFolder="" measureGroup="Table2_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tate]" caption="Count of State" measure="1" displayFolder="" measureGroup="Table2_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Total Count]" caption="Total Count" measure="1" displayFolder="" measureGroup="Table2_2" count="0"/>
    <cacheHierarchy uniqueName="[Measures].[Average Age]" caption="Average Age" measure="1" displayFolder="" measureGroup="Table2_2" count="0"/>
    <cacheHierarchy uniqueName="[Measures].[__XL_Count Table2_2]" caption="__XL_Count Table2_2" measure="1" displayFolder="" measureGroup="Table2_2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2_2" uniqueName="[Table2_2]" caption="Table2_2"/>
  </dimensions>
  <measureGroups count="1">
    <measureGroup name="Table2_2" caption="Table2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" refreshedDate="46076.424225578703" backgroundQuery="1" createdVersion="8" refreshedVersion="8" minRefreshableVersion="3" recordCount="0" supportSubquery="1" supportAdvancedDrill="1" xr:uid="{E7DA6204-210D-4942-8C89-0A247FA376E0}">
  <cacheSource type="external" connectionId="2"/>
  <cacheFields count="2">
    <cacheField name="[Table2_2].[State].[State]" caption="State" numFmtId="0" hierarchy="4" level="1">
      <sharedItems count="7">
        <s v="Abuja"/>
        <s v="Anambra"/>
        <s v="Delta"/>
        <s v="Enugu"/>
        <s v="Kaduna"/>
        <s v="Lagos"/>
        <s v="Ogun"/>
      </sharedItems>
    </cacheField>
    <cacheField name="[Measures].[Count of State]" caption="Count of State" numFmtId="0" hierarchy="8" level="32767"/>
  </cacheFields>
  <cacheHierarchies count="13">
    <cacheHierarchy uniqueName="[Table2_2].[Name]" caption="Name" attribute="1" defaultMemberUniqueName="[Table2_2].[Name].[All]" allUniqueName="[Table2_2].[Name].[All]" dimensionUniqueName="[Table2_2]" displayFolder="" count="0" memberValueDatatype="130" unbalanced="0"/>
    <cacheHierarchy uniqueName="[Table2_2].[Address]" caption="Address" attribute="1" defaultMemberUniqueName="[Table2_2].[Address].[All]" allUniqueName="[Table2_2].[Address].[All]" dimensionUniqueName="[Table2_2]" displayFolder="" count="0" memberValueDatatype="130" unbalanced="0"/>
    <cacheHierarchy uniqueName="[Table2_2].[Age]" caption="Age" attribute="1" defaultMemberUniqueName="[Table2_2].[Age].[All]" allUniqueName="[Table2_2].[Age].[All]" dimensionUniqueName="[Table2_2]" displayFolder="" count="0" memberValueDatatype="20" unbalanced="0"/>
    <cacheHierarchy uniqueName="[Table2_2].[Gender]" caption="Gender" attribute="1" defaultMemberUniqueName="[Table2_2].[Gender].[All]" allUniqueName="[Table2_2].[Gender].[All]" dimensionUniqueName="[Table2_2]" displayFolder="" count="0" memberValueDatatype="130" unbalanced="0"/>
    <cacheHierarchy uniqueName="[Table2_2].[State]" caption="State" attribute="1" defaultMemberUniqueName="[Table2_2].[State].[All]" allUniqueName="[Table2_2].[State].[All]" dimensionUniqueName="[Table2_2]" displayFolder="" count="2" memberValueDatatype="130" unbalanced="0">
      <fieldsUsage count="2">
        <fieldUsage x="-1"/>
        <fieldUsage x="0"/>
      </fieldsUsage>
    </cacheHierarchy>
    <cacheHierarchy uniqueName="[Table2_2].[Age Group]" caption="Age Group" attribute="1" defaultMemberUniqueName="[Table2_2].[Age Group].[All]" allUniqueName="[Table2_2].[Age Group].[All]" dimensionUniqueName="[Table2_2]" displayFolder="" count="0" memberValueDatatype="130" unbalanced="0"/>
    <cacheHierarchy uniqueName="[Measures].[Count of Gender]" caption="Count of Gender" measure="1" displayFolder="" measureGroup="Table2_2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 Group]" caption="Count of Age Group" measure="1" displayFolder="" measureGroup="Table2_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tate]" caption="Count of State" measure="1" displayFolder="" measureGroup="Table2_2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Total Count]" caption="Total Count" measure="1" displayFolder="" measureGroup="Table2_2" count="0"/>
    <cacheHierarchy uniqueName="[Measures].[Average Age]" caption="Average Age" measure="1" displayFolder="" measureGroup="Table2_2" count="0"/>
    <cacheHierarchy uniqueName="[Measures].[__XL_Count Table2_2]" caption="__XL_Count Table2_2" measure="1" displayFolder="" measureGroup="Table2_2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2_2" uniqueName="[Table2_2]" caption="Table2_2"/>
  </dimensions>
  <measureGroups count="1">
    <measureGroup name="Table2_2" caption="Table2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" refreshedDate="46076.425037962967" backgroundQuery="1" createdVersion="8" refreshedVersion="8" minRefreshableVersion="3" recordCount="0" supportSubquery="1" supportAdvancedDrill="1" xr:uid="{4A6C5C06-E65E-42E4-B399-03049017B22C}">
  <cacheSource type="external" connectionId="2"/>
  <cacheFields count="2">
    <cacheField name="[Measures].[Total Count]" caption="Total Count" numFmtId="0" hierarchy="9" level="32767"/>
    <cacheField name="[Measures].[Average Age]" caption="Average Age" numFmtId="0" hierarchy="10" level="32767"/>
  </cacheFields>
  <cacheHierarchies count="13">
    <cacheHierarchy uniqueName="[Table2_2].[Name]" caption="Name" attribute="1" defaultMemberUniqueName="[Table2_2].[Name].[All]" allUniqueName="[Table2_2].[Name].[All]" dimensionUniqueName="[Table2_2]" displayFolder="" count="0" memberValueDatatype="130" unbalanced="0"/>
    <cacheHierarchy uniqueName="[Table2_2].[Address]" caption="Address" attribute="1" defaultMemberUniqueName="[Table2_2].[Address].[All]" allUniqueName="[Table2_2].[Address].[All]" dimensionUniqueName="[Table2_2]" displayFolder="" count="0" memberValueDatatype="130" unbalanced="0"/>
    <cacheHierarchy uniqueName="[Table2_2].[Age]" caption="Age" attribute="1" defaultMemberUniqueName="[Table2_2].[Age].[All]" allUniqueName="[Table2_2].[Age].[All]" dimensionUniqueName="[Table2_2]" displayFolder="" count="0" memberValueDatatype="20" unbalanced="0"/>
    <cacheHierarchy uniqueName="[Table2_2].[Gender]" caption="Gender" attribute="1" defaultMemberUniqueName="[Table2_2].[Gender].[All]" allUniqueName="[Table2_2].[Gender].[All]" dimensionUniqueName="[Table2_2]" displayFolder="" count="0" memberValueDatatype="130" unbalanced="0"/>
    <cacheHierarchy uniqueName="[Table2_2].[State]" caption="State" attribute="1" defaultMemberUniqueName="[Table2_2].[State].[All]" allUniqueName="[Table2_2].[State].[All]" dimensionUniqueName="[Table2_2]" displayFolder="" count="0" memberValueDatatype="130" unbalanced="0"/>
    <cacheHierarchy uniqueName="[Table2_2].[Age Group]" caption="Age Group" attribute="1" defaultMemberUniqueName="[Table2_2].[Age Group].[All]" allUniqueName="[Table2_2].[Age Group].[All]" dimensionUniqueName="[Table2_2]" displayFolder="" count="2" memberValueDatatype="130" unbalanced="0"/>
    <cacheHierarchy uniqueName="[Measures].[Count of Gender]" caption="Count of Gender" measure="1" displayFolder="" measureGroup="Table2_2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 Group]" caption="Count of Age Group" measure="1" displayFolder="" measureGroup="Table2_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tate]" caption="Count of State" measure="1" displayFolder="" measureGroup="Table2_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Total Count]" caption="Total Count" measure="1" displayFolder="" measureGroup="Table2_2" count="0" oneField="1">
      <fieldsUsage count="1">
        <fieldUsage x="0"/>
      </fieldsUsage>
    </cacheHierarchy>
    <cacheHierarchy uniqueName="[Measures].[Average Age]" caption="Average Age" measure="1" displayFolder="" measureGroup="Table2_2" count="0" oneField="1">
      <fieldsUsage count="1">
        <fieldUsage x="1"/>
      </fieldsUsage>
    </cacheHierarchy>
    <cacheHierarchy uniqueName="[Measures].[__XL_Count Table2_2]" caption="__XL_Count Table2_2" measure="1" displayFolder="" measureGroup="Table2_2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2_2" uniqueName="[Table2_2]" caption="Table2_2"/>
  </dimensions>
  <measureGroups count="1">
    <measureGroup name="Table2_2" caption="Table2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4AE63-347A-41D1-A447-8247A47D133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6" firstHeaderRow="1" firstDataRow="1" firstDataCol="1"/>
  <pivotFields count="2">
    <pivotField axis="axisRow" allDrilled="1" showAll="0" dataSourceSort="1" defaultAttributeDrillState="1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Gender" fld="1" subtotal="count" baseField="0" baseItem="0"/>
  </dataField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5JumbledupCustomersDetails1-220823-192255%20(1) (version 1).xlsb!Table2_2">
        <x15:activeTabTopLevelEntity name="[Table2_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921696-5A09-410F-9671-DF7E6897CB43}" name="PivotTable4" cacheId="3" applyNumberFormats="0" applyBorderFormats="0" applyFontFormats="0" applyPatternFormats="0" applyAlignmentFormats="0" applyWidthHeightFormats="1" dataCaption="Values" tag="4bd31361-38b4-448d-8e24-d9530b5e2488" updatedVersion="8" minRefreshableVersion="3" useAutoFormatting="1" itemPrintTitles="1" createdVersion="8" indent="0" multipleFieldFilters="0">
  <location ref="P3:Q4" firstHeaderRow="0" firstDataRow="1" firstDataCol="0"/>
  <pivotFields count="2"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5JumbledupCustomersDetails1-220823-192255%20(1) (version 1).xlsb!Table2_2">
        <x15:activeTabTopLevelEntity name="[Table2_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AB53F-EFF1-4B40-9991-C7DACCB558B9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L3:M11" firstHeaderRow="1" firstDataRow="1" firstDataCol="1"/>
  <pivotFields count="2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tate" fld="1" subtotal="count" baseField="0" baseItem="0"/>
  </dataField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5JumbledupCustomersDetails1-220823-192255%20(1) (version 1).xlsb!Table2_2">
        <x15:activeTabTopLevelEntity name="[Table2_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8A5D8A-E4A0-422A-95B7-ADCCE5981EE5}" name="PivotTable2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multipleFieldFilters="0">
  <location ref="G3:H6" firstHeaderRow="1" firstDataRow="1" firstDataCol="1"/>
  <pivotFields count="2">
    <pivotField axis="axisRow" allDrilled="1" showAll="0" dataSourceSort="1" defaultAttributeDrillState="1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Age Group" fld="1" subtotal="count" baseField="0" baseItem="0"/>
  </dataField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5JumbledupCustomersDetails1-220823-192255%20(1) (version 1).xlsb!Table2_2">
        <x15:activeTabTopLevelEntity name="[Table2_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57EBCAC-4020-477A-899F-40AECF3543DB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Address" tableColumnId="2"/>
      <queryTableField id="3" name="Age" tableColumnId="3"/>
      <queryTableField id="4" name="Gender" tableColumnId="4"/>
      <queryTableField id="5" name="State" tableColumnId="5"/>
      <queryTableField id="6" name="Age Group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0917D3-4A0D-45C2-96AF-3D2DD7BBE1C7}" name="Table2_2" displayName="Table2_2" ref="B4:G12" tableType="queryTable" totalsRowShown="0">
  <autoFilter ref="B4:G12" xr:uid="{0F0917D3-4A0D-45C2-96AF-3D2DD7BBE1C7}"/>
  <tableColumns count="6">
    <tableColumn id="1" xr3:uid="{CA2D083D-A60C-4487-9792-56F9E86B2D6F}" uniqueName="1" name="Name" queryTableFieldId="1" dataDxfId="3"/>
    <tableColumn id="2" xr3:uid="{5B2EBE87-9F2E-41B3-A47B-F2F191B8E6E1}" uniqueName="2" name="Address" queryTableFieldId="2" dataDxfId="2"/>
    <tableColumn id="3" xr3:uid="{8CE6D33C-A05C-43B5-83BE-00F9DDB3695C}" uniqueName="3" name="Age" queryTableFieldId="3"/>
    <tableColumn id="4" xr3:uid="{8CFE19E0-C30A-4512-9BF8-91EF51AEBE42}" uniqueName="4" name="Gender" queryTableFieldId="4" dataDxfId="1"/>
    <tableColumn id="5" xr3:uid="{569DCD53-5532-4D43-A56B-6362FEF1B6A4}" uniqueName="5" name="State" queryTableFieldId="5" dataDxfId="0"/>
    <tableColumn id="6" xr3:uid="{D98B252D-2973-41EE-A805-3FCC1BD8F2CC}" uniqueName="6" name="Age Group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2305E-FEAF-489B-BCA4-5260F960F3C3}">
  <dimension ref="B3:B10"/>
  <sheetViews>
    <sheetView workbookViewId="0">
      <selection activeCell="I6" sqref="I6"/>
    </sheetView>
  </sheetViews>
  <sheetFormatPr defaultRowHeight="14.4" x14ac:dyDescent="0.3"/>
  <cols>
    <col min="1" max="1" width="14.6640625" customWidth="1"/>
    <col min="2" max="2" width="77.88671875" customWidth="1"/>
    <col min="3" max="3" width="19.21875" bestFit="1" customWidth="1"/>
  </cols>
  <sheetData>
    <row r="3" spans="2:2" x14ac:dyDescent="0.3">
      <c r="B3" t="s">
        <v>52</v>
      </c>
    </row>
    <row r="4" spans="2:2" x14ac:dyDescent="0.3">
      <c r="B4" t="s">
        <v>51</v>
      </c>
    </row>
    <row r="5" spans="2:2" x14ac:dyDescent="0.3">
      <c r="B5" t="s">
        <v>50</v>
      </c>
    </row>
    <row r="6" spans="2:2" x14ac:dyDescent="0.3">
      <c r="B6" t="s">
        <v>49</v>
      </c>
    </row>
    <row r="7" spans="2:2" x14ac:dyDescent="0.3">
      <c r="B7" t="s">
        <v>48</v>
      </c>
    </row>
    <row r="8" spans="2:2" x14ac:dyDescent="0.3">
      <c r="B8" t="s">
        <v>47</v>
      </c>
    </row>
    <row r="9" spans="2:2" x14ac:dyDescent="0.3">
      <c r="B9" t="s">
        <v>46</v>
      </c>
    </row>
    <row r="10" spans="2:2" x14ac:dyDescent="0.3">
      <c r="B10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EBAC6-60B5-4F44-8158-0E4902226666}">
  <dimension ref="B4:G14"/>
  <sheetViews>
    <sheetView tabSelected="1" workbookViewId="0">
      <selection activeCell="B4" sqref="B4:G12"/>
    </sheetView>
  </sheetViews>
  <sheetFormatPr defaultRowHeight="14.4" x14ac:dyDescent="0.3"/>
  <cols>
    <col min="1" max="1" width="19.6640625" bestFit="1" customWidth="1"/>
    <col min="2" max="2" width="20.44140625" customWidth="1"/>
    <col min="3" max="3" width="37.77734375" customWidth="1"/>
    <col min="4" max="4" width="9.33203125" bestFit="1" customWidth="1"/>
    <col min="5" max="5" width="11.21875" customWidth="1"/>
    <col min="6" max="6" width="12.109375" bestFit="1" customWidth="1"/>
    <col min="7" max="7" width="15.5546875" customWidth="1"/>
  </cols>
  <sheetData>
    <row r="4" spans="2:7" x14ac:dyDescent="0.3">
      <c r="B4" t="s">
        <v>0</v>
      </c>
      <c r="C4" t="s">
        <v>1</v>
      </c>
      <c r="D4" t="s">
        <v>2</v>
      </c>
      <c r="E4" t="s">
        <v>3</v>
      </c>
      <c r="F4" t="s">
        <v>29</v>
      </c>
      <c r="G4" t="s">
        <v>30</v>
      </c>
    </row>
    <row r="5" spans="2:7" x14ac:dyDescent="0.3">
      <c r="B5" t="s">
        <v>4</v>
      </c>
      <c r="C5" t="s">
        <v>5</v>
      </c>
      <c r="D5">
        <v>17</v>
      </c>
      <c r="E5" t="s">
        <v>6</v>
      </c>
      <c r="F5" t="s">
        <v>7</v>
      </c>
      <c r="G5" t="s">
        <v>31</v>
      </c>
    </row>
    <row r="6" spans="2:7" x14ac:dyDescent="0.3">
      <c r="B6" t="s">
        <v>8</v>
      </c>
      <c r="C6" t="s">
        <v>9</v>
      </c>
      <c r="D6">
        <v>16</v>
      </c>
      <c r="E6" t="s">
        <v>6</v>
      </c>
      <c r="F6" t="s">
        <v>7</v>
      </c>
      <c r="G6" t="s">
        <v>31</v>
      </c>
    </row>
    <row r="7" spans="2:7" x14ac:dyDescent="0.3">
      <c r="B7" t="s">
        <v>10</v>
      </c>
      <c r="C7" t="s">
        <v>11</v>
      </c>
      <c r="D7">
        <v>14</v>
      </c>
      <c r="E7" t="s">
        <v>6</v>
      </c>
      <c r="F7" t="s">
        <v>12</v>
      </c>
      <c r="G7" t="s">
        <v>32</v>
      </c>
    </row>
    <row r="8" spans="2:7" x14ac:dyDescent="0.3">
      <c r="B8" t="s">
        <v>13</v>
      </c>
      <c r="C8" t="s">
        <v>14</v>
      </c>
      <c r="D8">
        <v>16</v>
      </c>
      <c r="E8" t="s">
        <v>15</v>
      </c>
      <c r="F8" t="s">
        <v>26</v>
      </c>
      <c r="G8" t="s">
        <v>31</v>
      </c>
    </row>
    <row r="9" spans="2:7" x14ac:dyDescent="0.3">
      <c r="B9" t="s">
        <v>16</v>
      </c>
      <c r="C9" t="s">
        <v>17</v>
      </c>
      <c r="D9">
        <v>18</v>
      </c>
      <c r="E9" t="s">
        <v>15</v>
      </c>
      <c r="F9" t="s">
        <v>27</v>
      </c>
      <c r="G9" t="s">
        <v>31</v>
      </c>
    </row>
    <row r="10" spans="2:7" x14ac:dyDescent="0.3">
      <c r="B10" t="s">
        <v>18</v>
      </c>
      <c r="C10" t="s">
        <v>19</v>
      </c>
      <c r="D10">
        <v>14</v>
      </c>
      <c r="E10" t="s">
        <v>15</v>
      </c>
      <c r="F10" t="s">
        <v>20</v>
      </c>
      <c r="G10" t="s">
        <v>32</v>
      </c>
    </row>
    <row r="11" spans="2:7" x14ac:dyDescent="0.3">
      <c r="B11" t="s">
        <v>21</v>
      </c>
      <c r="C11" t="s">
        <v>22</v>
      </c>
      <c r="D11">
        <v>12</v>
      </c>
      <c r="E11" t="s">
        <v>15</v>
      </c>
      <c r="F11" t="s">
        <v>23</v>
      </c>
      <c r="G11" t="s">
        <v>32</v>
      </c>
    </row>
    <row r="12" spans="2:7" x14ac:dyDescent="0.3">
      <c r="B12" t="s">
        <v>24</v>
      </c>
      <c r="C12" t="s">
        <v>25</v>
      </c>
      <c r="D12">
        <v>13</v>
      </c>
      <c r="E12" t="s">
        <v>15</v>
      </c>
      <c r="F12" t="s">
        <v>28</v>
      </c>
      <c r="G12" t="s">
        <v>32</v>
      </c>
    </row>
    <row r="13" spans="2:7" x14ac:dyDescent="0.3">
      <c r="B13" s="10"/>
      <c r="C13" s="10"/>
      <c r="E13" s="10"/>
      <c r="F13" s="10"/>
    </row>
    <row r="14" spans="2:7" x14ac:dyDescent="0.3">
      <c r="B14" s="10"/>
      <c r="C14" s="10"/>
      <c r="E14" s="10"/>
      <c r="F14" s="1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34D8-CF84-4D8D-A1FB-62B7A0B3F8F6}">
  <dimension ref="A2:Q21"/>
  <sheetViews>
    <sheetView workbookViewId="0">
      <selection activeCell="H32" sqref="H32"/>
    </sheetView>
  </sheetViews>
  <sheetFormatPr defaultRowHeight="14.4" x14ac:dyDescent="0.3"/>
  <cols>
    <col min="1" max="1" width="12.5546875" bestFit="1" customWidth="1"/>
    <col min="2" max="2" width="15" bestFit="1" customWidth="1"/>
    <col min="6" max="6" width="8.88671875" customWidth="1"/>
    <col min="7" max="7" width="12.5546875" customWidth="1"/>
    <col min="8" max="8" width="17.88671875" bestFit="1" customWidth="1"/>
    <col min="10" max="10" width="6.44140625" customWidth="1"/>
    <col min="11" max="11" width="8.88671875" hidden="1" customWidth="1"/>
    <col min="12" max="12" width="12.5546875" bestFit="1" customWidth="1"/>
    <col min="13" max="13" width="27.6640625" customWidth="1"/>
    <col min="16" max="16" width="10.77734375" bestFit="1" customWidth="1"/>
    <col min="17" max="17" width="11.5546875" bestFit="1" customWidth="1"/>
  </cols>
  <sheetData>
    <row r="2" spans="1:17" ht="21" x14ac:dyDescent="0.4">
      <c r="A2" s="9" t="s">
        <v>40</v>
      </c>
      <c r="B2" s="8"/>
      <c r="G2" s="9" t="s">
        <v>41</v>
      </c>
      <c r="H2" s="9"/>
      <c r="L2" s="9" t="s">
        <v>42</v>
      </c>
      <c r="M2" s="9"/>
      <c r="P2" s="9" t="s">
        <v>43</v>
      </c>
      <c r="Q2" s="9"/>
    </row>
    <row r="3" spans="1:17" x14ac:dyDescent="0.3">
      <c r="A3" s="1" t="s">
        <v>33</v>
      </c>
      <c r="B3" t="s">
        <v>35</v>
      </c>
      <c r="G3" s="1" t="s">
        <v>33</v>
      </c>
      <c r="H3" t="s">
        <v>36</v>
      </c>
      <c r="L3" s="1" t="s">
        <v>33</v>
      </c>
      <c r="M3" t="s">
        <v>37</v>
      </c>
      <c r="P3" t="s">
        <v>38</v>
      </c>
      <c r="Q3" t="s">
        <v>39</v>
      </c>
    </row>
    <row r="4" spans="1:17" x14ac:dyDescent="0.3">
      <c r="A4" s="2" t="s">
        <v>15</v>
      </c>
      <c r="B4">
        <v>5</v>
      </c>
      <c r="G4" s="2" t="s">
        <v>32</v>
      </c>
      <c r="H4">
        <v>4</v>
      </c>
      <c r="L4" s="2" t="s">
        <v>12</v>
      </c>
      <c r="M4">
        <v>1</v>
      </c>
      <c r="P4" s="5">
        <v>8</v>
      </c>
      <c r="Q4" s="6">
        <v>15</v>
      </c>
    </row>
    <row r="5" spans="1:17" x14ac:dyDescent="0.3">
      <c r="A5" s="2" t="s">
        <v>6</v>
      </c>
      <c r="B5">
        <v>3</v>
      </c>
      <c r="G5" s="2" t="s">
        <v>31</v>
      </c>
      <c r="H5">
        <v>4</v>
      </c>
      <c r="L5" s="2" t="s">
        <v>28</v>
      </c>
      <c r="M5">
        <v>1</v>
      </c>
    </row>
    <row r="6" spans="1:17" x14ac:dyDescent="0.3">
      <c r="A6" s="2" t="s">
        <v>34</v>
      </c>
      <c r="B6">
        <v>8</v>
      </c>
      <c r="G6" s="2" t="s">
        <v>34</v>
      </c>
      <c r="H6">
        <v>8</v>
      </c>
      <c r="L6" s="2" t="s">
        <v>20</v>
      </c>
      <c r="M6">
        <v>1</v>
      </c>
    </row>
    <row r="7" spans="1:17" x14ac:dyDescent="0.3">
      <c r="L7" s="2" t="s">
        <v>23</v>
      </c>
      <c r="M7">
        <v>1</v>
      </c>
    </row>
    <row r="8" spans="1:17" x14ac:dyDescent="0.3">
      <c r="G8" t="str" cm="1">
        <f t="array" ref="G8:H10">G3:H5</f>
        <v>Row Labels</v>
      </c>
      <c r="H8" t="str">
        <v>Count of Age Group</v>
      </c>
      <c r="L8" s="2" t="s">
        <v>26</v>
      </c>
      <c r="M8">
        <v>1</v>
      </c>
    </row>
    <row r="9" spans="1:17" x14ac:dyDescent="0.3">
      <c r="A9" s="2" t="s">
        <v>15</v>
      </c>
      <c r="B9">
        <f>IFERROR(GETPIVOTDATA("[Measures].[Count of Gender]",$A$3,"[Table2_2].[Gender]","[Table2_2].[Gender].&amp;[ Female]"),"0")</f>
        <v>5</v>
      </c>
      <c r="C9" s="3">
        <f t="shared" ref="C9:C10" si="0">SUM(B9)/SUM($B$9:$B$10)</f>
        <v>0.625</v>
      </c>
      <c r="D9" s="4">
        <f>1-C9</f>
        <v>0.375</v>
      </c>
      <c r="G9" t="str">
        <v>10 to 15</v>
      </c>
      <c r="H9">
        <v>4</v>
      </c>
      <c r="L9" s="2" t="s">
        <v>7</v>
      </c>
      <c r="M9">
        <v>2</v>
      </c>
    </row>
    <row r="10" spans="1:17" x14ac:dyDescent="0.3">
      <c r="A10" s="2" t="s">
        <v>6</v>
      </c>
      <c r="B10">
        <f>IFERROR(GETPIVOTDATA("[Measures].[Count of Gender]",$A$3,"[Table2_2].[Gender]","[Table2_2].[Gender].&amp;[ Male]"),"0")</f>
        <v>3</v>
      </c>
      <c r="C10" s="3">
        <f t="shared" si="0"/>
        <v>0.375</v>
      </c>
      <c r="D10" s="4">
        <f>1-C10</f>
        <v>0.625</v>
      </c>
      <c r="G10" t="str">
        <v>16 to 20</v>
      </c>
      <c r="H10">
        <v>4</v>
      </c>
      <c r="L10" s="2" t="s">
        <v>27</v>
      </c>
      <c r="M10">
        <v>1</v>
      </c>
    </row>
    <row r="11" spans="1:17" x14ac:dyDescent="0.3">
      <c r="A11" s="2" t="s">
        <v>44</v>
      </c>
      <c r="B11">
        <f>SUM(B9:B10)</f>
        <v>8</v>
      </c>
      <c r="L11" s="2" t="s">
        <v>34</v>
      </c>
      <c r="M11">
        <v>8</v>
      </c>
    </row>
    <row r="14" spans="1:17" x14ac:dyDescent="0.3">
      <c r="L14" s="7" t="str" cm="1">
        <f t="array" ref="L14:M21">L3:M10</f>
        <v>Row Labels</v>
      </c>
      <c r="M14" s="7" t="str">
        <v>Count of State</v>
      </c>
    </row>
    <row r="15" spans="1:17" x14ac:dyDescent="0.3">
      <c r="L15" t="str">
        <v>Abuja</v>
      </c>
      <c r="M15">
        <v>1</v>
      </c>
    </row>
    <row r="16" spans="1:17" x14ac:dyDescent="0.3">
      <c r="L16" t="str">
        <v>Anambra</v>
      </c>
      <c r="M16">
        <v>1</v>
      </c>
    </row>
    <row r="17" spans="12:13" x14ac:dyDescent="0.3">
      <c r="L17" t="str">
        <v>Delta</v>
      </c>
      <c r="M17">
        <v>1</v>
      </c>
    </row>
    <row r="18" spans="12:13" x14ac:dyDescent="0.3">
      <c r="L18" t="str">
        <v>Enugu</v>
      </c>
      <c r="M18">
        <v>1</v>
      </c>
    </row>
    <row r="19" spans="12:13" x14ac:dyDescent="0.3">
      <c r="L19" t="str">
        <v>Kaduna</v>
      </c>
      <c r="M19">
        <v>1</v>
      </c>
    </row>
    <row r="20" spans="12:13" x14ac:dyDescent="0.3">
      <c r="L20" t="str">
        <v>Lagos</v>
      </c>
      <c r="M20">
        <v>2</v>
      </c>
    </row>
    <row r="21" spans="12:13" x14ac:dyDescent="0.3">
      <c r="L21" t="str">
        <v>Ogun</v>
      </c>
      <c r="M21">
        <v>1</v>
      </c>
    </row>
  </sheetData>
  <mergeCells count="4">
    <mergeCell ref="A2:B2"/>
    <mergeCell ref="G2:H2"/>
    <mergeCell ref="L2:M2"/>
    <mergeCell ref="P2:Q2"/>
  </mergeCells>
  <pageMargins left="0.7" right="0.7" top="0.75" bottom="0.75" header="0.3" footer="0.3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195C5-4ED6-4E29-BB04-48DDE34374B5}">
  <dimension ref="A1"/>
  <sheetViews>
    <sheetView showGridLines="0" showRowColHeaders="0" topLeftCell="C1" zoomScaleNormal="100" workbookViewId="0">
      <selection activeCell="E38" sqref="E38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14A9D7C1-D43D-4E0E-B22B-8EBF9EEE94E9}">
  <ds:schemaRefs/>
</ds:datastoreItem>
</file>

<file path=customXml/itemProps2.xml><?xml version="1.0" encoding="utf-8"?>
<ds:datastoreItem xmlns:ds="http://schemas.openxmlformats.org/officeDocument/2006/customXml" ds:itemID="{1D472624-165A-4CFE-A231-F9B0A0ACE2AA}">
  <ds:schemaRefs/>
</ds:datastoreItem>
</file>

<file path=customXml/itemProps3.xml><?xml version="1.0" encoding="utf-8"?>
<ds:datastoreItem xmlns:ds="http://schemas.openxmlformats.org/officeDocument/2006/customXml" ds:itemID="{21127AC6-B4DF-470C-B342-5AF1605E1DD0}">
  <ds:schemaRefs/>
</ds:datastoreItem>
</file>

<file path=customXml/itemProps4.xml><?xml version="1.0" encoding="utf-8"?>
<ds:datastoreItem xmlns:ds="http://schemas.openxmlformats.org/officeDocument/2006/customXml" ds:itemID="{C14D4FE3-3559-4721-974E-212FF42EDC4D}">
  <ds:schemaRefs/>
</ds:datastoreItem>
</file>

<file path=customXml/itemProps5.xml><?xml version="1.0" encoding="utf-8"?>
<ds:datastoreItem xmlns:ds="http://schemas.openxmlformats.org/officeDocument/2006/customXml" ds:itemID="{36147D05-3DDC-4C0D-96A4-23AA6AA90228}">
  <ds:schemaRefs/>
</ds:datastoreItem>
</file>

<file path=customXml/itemProps6.xml><?xml version="1.0" encoding="utf-8"?>
<ds:datastoreItem xmlns:ds="http://schemas.openxmlformats.org/officeDocument/2006/customXml" ds:itemID="{82CC6256-F9A3-4E4F-AA19-4230410FB6BA}">
  <ds:schemaRefs/>
</ds:datastoreItem>
</file>

<file path=customXml/itemProps7.xml><?xml version="1.0" encoding="utf-8"?>
<ds:datastoreItem xmlns:ds="http://schemas.openxmlformats.org/officeDocument/2006/customXml" ds:itemID="{02EA64AC-F39B-425F-B5A8-F7E550043CD1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960CF063-FA02-4B44-BBB4-76E8A4436E76}">
  <ds:schemaRefs/>
</ds:datastoreItem>
</file>

<file path=customXml/itemProps9.xml><?xml version="1.0" encoding="utf-8"?>
<ds:datastoreItem xmlns:ds="http://schemas.openxmlformats.org/officeDocument/2006/customXml" ds:itemID="{D7B7BE3D-F570-470A-A194-D12D78803D39}">
  <ds:schemaRefs/>
</ds:datastoreItem>
</file>

<file path=customXml/itemProps10.xml><?xml version="1.0" encoding="utf-8"?>
<ds:datastoreItem xmlns:ds="http://schemas.openxmlformats.org/officeDocument/2006/customXml" ds:itemID="{2EFF512F-6E99-471E-AE39-71EA07AF6D63}">
  <ds:schemaRefs/>
</ds:datastoreItem>
</file>

<file path=customXml/itemProps11.xml><?xml version="1.0" encoding="utf-8"?>
<ds:datastoreItem xmlns:ds="http://schemas.openxmlformats.org/officeDocument/2006/customXml" ds:itemID="{1522F0EF-8A8D-4D8F-B72E-819D7D29A851}">
  <ds:schemaRefs/>
</ds:datastoreItem>
</file>

<file path=customXml/itemProps12.xml><?xml version="1.0" encoding="utf-8"?>
<ds:datastoreItem xmlns:ds="http://schemas.openxmlformats.org/officeDocument/2006/customXml" ds:itemID="{452FBCF8-FFD5-4BE9-855B-696C10957F30}">
  <ds:schemaRefs/>
</ds:datastoreItem>
</file>

<file path=customXml/itemProps13.xml><?xml version="1.0" encoding="utf-8"?>
<ds:datastoreItem xmlns:ds="http://schemas.openxmlformats.org/officeDocument/2006/customXml" ds:itemID="{7C58C915-5B74-41A3-B12A-115F1273B2F9}">
  <ds:schemaRefs/>
</ds:datastoreItem>
</file>

<file path=customXml/itemProps14.xml><?xml version="1.0" encoding="utf-8"?>
<ds:datastoreItem xmlns:ds="http://schemas.openxmlformats.org/officeDocument/2006/customXml" ds:itemID="{1A63F349-4073-4388-8458-C486D024C1A7}">
  <ds:schemaRefs/>
</ds:datastoreItem>
</file>

<file path=customXml/itemProps15.xml><?xml version="1.0" encoding="utf-8"?>
<ds:datastoreItem xmlns:ds="http://schemas.openxmlformats.org/officeDocument/2006/customXml" ds:itemID="{B25FB89B-500F-4D97-B030-6E472ADD619B}">
  <ds:schemaRefs/>
</ds:datastoreItem>
</file>

<file path=customXml/itemProps16.xml><?xml version="1.0" encoding="utf-8"?>
<ds:datastoreItem xmlns:ds="http://schemas.openxmlformats.org/officeDocument/2006/customXml" ds:itemID="{B0A9119E-A5C0-4F2C-826C-4152EAE87307}">
  <ds:schemaRefs/>
</ds:datastoreItem>
</file>

<file path=customXml/itemProps17.xml><?xml version="1.0" encoding="utf-8"?>
<ds:datastoreItem xmlns:ds="http://schemas.openxmlformats.org/officeDocument/2006/customXml" ds:itemID="{32E5AB74-DEA7-47F8-9F6F-AB4ECD8DAA53}">
  <ds:schemaRefs/>
</ds:datastoreItem>
</file>

<file path=customXml/itemProps18.xml><?xml version="1.0" encoding="utf-8"?>
<ds:datastoreItem xmlns:ds="http://schemas.openxmlformats.org/officeDocument/2006/customXml" ds:itemID="{DDA754C2-B3EF-4C5D-8097-34827718373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Dirty 5</vt:lpstr>
      <vt:lpstr>Clean Dataset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Alex Chika</cp:lastModifiedBy>
  <dcterms:created xsi:type="dcterms:W3CDTF">2020-05-09T13:09:48Z</dcterms:created>
  <dcterms:modified xsi:type="dcterms:W3CDTF">2026-04-22T10:27:23Z</dcterms:modified>
</cp:coreProperties>
</file>